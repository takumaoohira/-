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メニュー原価一覧" sheetId="1" state="visible" r:id="rId3"/>
    <sheet name="分類別サマリー" sheetId="2" state="visible" r:id="rId4"/>
  </sheets>
  <definedNames>
    <definedName function="false" hidden="false" localSheetId="0" name="_xlnm.Print_Titles" vbProcedure="false">メニュー原価一覧!$10:$10</definedName>
    <definedName function="false" hidden="true" localSheetId="0" name="_xlnm._FilterDatabase" vbProcedure="false">メニュー原価一覧!$A$10:$O$159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WenQuanYi Zen Hei"/>
            <family val="2"/>
          </rPr>
          <t xml:space="preserve">税抜価格の算出に使う税率。</t>
        </r>
      </text>
    </comment>
    <comment ref="D4" authorId="0">
      <text>
        <r>
          <rPr>
            <sz val="10"/>
            <rFont val="WenQuanYi Zen Hei"/>
            <family val="2"/>
          </rPr>
          <t xml:space="preserve">税抜価格の算出に使う税率。</t>
        </r>
      </text>
    </comment>
  </commentList>
</comments>
</file>

<file path=xl/sharedStrings.xml><?xml version="1.0" encoding="utf-8"?>
<sst xmlns="http://schemas.openxmlformats.org/spreadsheetml/2006/main" count="608" uniqueCount="225">
  <si>
    <r>
      <rPr>
        <b val="true"/>
        <sz val="16"/>
        <color rgb="FF1F3864"/>
        <rFont val="Meiryo UI"/>
        <family val="3"/>
        <charset val="1"/>
      </rPr>
      <t xml:space="preserve">RAKU SPA 1010 </t>
    </r>
    <r>
      <rPr>
        <b val="true"/>
        <sz val="16"/>
        <color rgb="FF1F3864"/>
        <rFont val="WenQuanYi Zen Hei"/>
        <family val="2"/>
      </rPr>
      <t xml:space="preserve">神田　メニュー別 原価・粗利益一覧</t>
    </r>
  </si>
  <si>
    <t xml:space="preserve">メニュー構成：メニューリスト「250508更新」準拠（価格はメニュー表2506 PDF）／原価：2024 GMレシピ</t>
  </si>
  <si>
    <t xml:space="preserve">改訂前</t>
  </si>
  <si>
    <t xml:space="preserve">改訂後</t>
  </si>
  <si>
    <t xml:space="preserve">消費税率</t>
  </si>
  <si>
    <t xml:space="preserve">値上げ品数</t>
  </si>
  <si>
    <t xml:space="preserve">メニュー数</t>
  </si>
  <si>
    <t xml:space="preserve">平均値上げ幅（税込）</t>
  </si>
  <si>
    <t xml:space="preserve">平均原価率</t>
  </si>
  <si>
    <t xml:space="preserve">平均値上げ率</t>
  </si>
  <si>
    <t xml:space="preserve">平均粗利益</t>
  </si>
  <si>
    <t xml:space="preserve">原価未登録</t>
  </si>
  <si>
    <t xml:space="preserve">値上げ→</t>
  </si>
  <si>
    <t xml:space="preserve">No.</t>
  </si>
  <si>
    <t xml:space="preserve">区分</t>
  </si>
  <si>
    <t xml:space="preserve">分類</t>
  </si>
  <si>
    <t xml:space="preserve">メニュー名</t>
  </si>
  <si>
    <t xml:space="preserve">税込価格</t>
  </si>
  <si>
    <t xml:space="preserve">税抜価格</t>
  </si>
  <si>
    <t xml:space="preserve">原価（税抜）✎入力</t>
  </si>
  <si>
    <t xml:space="preserve">原価率</t>
  </si>
  <si>
    <t xml:space="preserve">粗利益</t>
  </si>
  <si>
    <t xml:space="preserve">税込価格✎入力</t>
  </si>
  <si>
    <t xml:space="preserve">価格差（税込）</t>
  </si>
  <si>
    <t xml:space="preserve">備考</t>
  </si>
  <si>
    <t xml:space="preserve">ドリンク</t>
  </si>
  <si>
    <t xml:space="preserve">ビール</t>
  </si>
  <si>
    <t xml:space="preserve">アサヒスーパードライ（パイントグラス）</t>
  </si>
  <si>
    <t xml:space="preserve">マルエフ</t>
  </si>
  <si>
    <t xml:space="preserve">レシピなし／原価未登録</t>
  </si>
  <si>
    <t xml:space="preserve">熟撰</t>
  </si>
  <si>
    <t xml:space="preserve">黒生</t>
  </si>
  <si>
    <r>
      <rPr>
        <b val="true"/>
        <sz val="10"/>
        <color rgb="FFFF0000"/>
        <rFont val="Meiryo UI"/>
        <family val="3"/>
        <charset val="1"/>
      </rPr>
      <t xml:space="preserve">1010JUG</t>
    </r>
    <r>
      <rPr>
        <b val="true"/>
        <sz val="10"/>
        <color rgb="FFFF0000"/>
        <rFont val="WenQuanYi Zen Hei"/>
        <family val="2"/>
      </rPr>
      <t xml:space="preserve">ビール（</t>
    </r>
    <r>
      <rPr>
        <b val="true"/>
        <sz val="10"/>
        <color rgb="FFFF0000"/>
        <rFont val="Meiryo UI"/>
        <family val="3"/>
        <charset val="1"/>
      </rPr>
      <t xml:space="preserve">800ml</t>
    </r>
    <r>
      <rPr>
        <b val="true"/>
        <sz val="10"/>
        <color rgb="FFFF0000"/>
        <rFont val="WenQuanYi Zen Hei"/>
        <family val="2"/>
      </rPr>
      <t xml:space="preserve">）</t>
    </r>
  </si>
  <si>
    <t xml:space="preserve">ペローニ</t>
  </si>
  <si>
    <t xml:space="preserve">カールスバーグ</t>
  </si>
  <si>
    <t xml:space="preserve">ピルスナー・ウルケル</t>
  </si>
  <si>
    <t xml:space="preserve">アサヒドライゼロ（ノンアル）</t>
  </si>
  <si>
    <t xml:space="preserve">ハイボール</t>
  </si>
  <si>
    <t xml:space="preserve">レギュラー748／大容量1,023。レシピ名「1010JUGハイボール」</t>
  </si>
  <si>
    <t xml:space="preserve">コークハイ</t>
  </si>
  <si>
    <t xml:space="preserve">レギュラー748／大容量1,023</t>
  </si>
  <si>
    <t xml:space="preserve">ジンジャーハイ</t>
  </si>
  <si>
    <t xml:space="preserve">むぎハイ</t>
  </si>
  <si>
    <t xml:space="preserve">いもハイ</t>
  </si>
  <si>
    <t xml:space="preserve">サワー</t>
  </si>
  <si>
    <t xml:space="preserve">マンゴーサワー</t>
  </si>
  <si>
    <t xml:space="preserve">いちごサワー</t>
  </si>
  <si>
    <t xml:space="preserve">カルピスサワー</t>
  </si>
  <si>
    <t xml:space="preserve">ウーロンハイ</t>
  </si>
  <si>
    <t xml:space="preserve">匠の深絞りレモンサワー</t>
  </si>
  <si>
    <t xml:space="preserve">シチリアレモンサワー</t>
  </si>
  <si>
    <t xml:space="preserve">塩ライチサワー</t>
  </si>
  <si>
    <t xml:space="preserve">塩レモンサワー</t>
  </si>
  <si>
    <t xml:space="preserve">塩オレンジサワー</t>
  </si>
  <si>
    <t xml:space="preserve">カクテル・蒸留酒・焼酎</t>
  </si>
  <si>
    <t xml:space="preserve">カシスオレンジ</t>
  </si>
  <si>
    <t xml:space="preserve">カシスソーダ</t>
  </si>
  <si>
    <t xml:space="preserve">フォション大人のミルクティー</t>
  </si>
  <si>
    <t xml:space="preserve">モスコミュール</t>
  </si>
  <si>
    <t xml:space="preserve">ウィルキンソン ジン（ソーダ割）</t>
  </si>
  <si>
    <t xml:space="preserve">ウィルキンソン ウォッカ（ソーダ割）</t>
  </si>
  <si>
    <t xml:space="preserve">麦焼酎</t>
  </si>
  <si>
    <t xml:space="preserve">ソーダ割・水割り・ロック</t>
  </si>
  <si>
    <t xml:space="preserve">芋焼酎</t>
  </si>
  <si>
    <t xml:space="preserve">ワイン・果実酒</t>
  </si>
  <si>
    <t xml:space="preserve">ガリゲット・バリグール 赤（グラス180ml）</t>
  </si>
  <si>
    <t xml:space="preserve">ガリゲット・バリグール 赤（ボトル750ml）</t>
  </si>
  <si>
    <t xml:space="preserve">ガリゲット・バリグール 白（グラス180ml）</t>
  </si>
  <si>
    <t xml:space="preserve">ガリゲット・バリグール 白（ボトル750ml）</t>
  </si>
  <si>
    <t xml:space="preserve">マテウス ロゼ（187ml）</t>
  </si>
  <si>
    <t xml:space="preserve">ニッカ 弘前 生シードル ロゼ（200ml）</t>
  </si>
  <si>
    <t xml:space="preserve">芳醇梅酒</t>
  </si>
  <si>
    <t xml:space="preserve">レシピなし／原価未登録／ソーダ割・水割り・ロック</t>
  </si>
  <si>
    <t xml:space="preserve">セット</t>
  </si>
  <si>
    <r>
      <rPr>
        <b val="true"/>
        <sz val="10"/>
        <color rgb="FF375623"/>
        <rFont val="Meiryo UI"/>
        <family val="3"/>
        <charset val="1"/>
      </rPr>
      <t xml:space="preserve">1010</t>
    </r>
    <r>
      <rPr>
        <b val="true"/>
        <sz val="10"/>
        <color rgb="FF375623"/>
        <rFont val="WenQuanYi Zen Hei"/>
        <family val="2"/>
      </rPr>
      <t xml:space="preserve">セット（タパス付）</t>
    </r>
  </si>
  <si>
    <t xml:space="preserve">タパスセット</t>
  </si>
  <si>
    <t xml:space="preserve">レシピなし／原価未登録／アルコール注文時の追加料金</t>
  </si>
  <si>
    <t xml:space="preserve">フード</t>
  </si>
  <si>
    <t xml:space="preserve">冷製おつまみ</t>
  </si>
  <si>
    <t xml:space="preserve">カナッペ</t>
  </si>
  <si>
    <t xml:space="preserve">シュリンプカクテル</t>
  </si>
  <si>
    <t xml:space="preserve">ローストビーフユッケ</t>
  </si>
  <si>
    <r>
      <rPr>
        <b val="true"/>
        <sz val="10"/>
        <color rgb="FFFF0000"/>
        <rFont val="Meiryo UI"/>
        <family val="3"/>
        <charset val="1"/>
      </rPr>
      <t xml:space="preserve">irodori</t>
    </r>
    <r>
      <rPr>
        <b val="true"/>
        <sz val="10"/>
        <color rgb="FFFF0000"/>
        <rFont val="WenQuanYi Zen Hei"/>
        <family val="2"/>
      </rPr>
      <t xml:space="preserve">自家製ピクルス</t>
    </r>
  </si>
  <si>
    <t xml:space="preserve">生ハム＆カマンベールチーズ</t>
  </si>
  <si>
    <t xml:space="preserve">生ハム</t>
  </si>
  <si>
    <t xml:space="preserve">カマンベールチーズ</t>
  </si>
  <si>
    <t xml:space="preserve">枝豆</t>
  </si>
  <si>
    <t xml:space="preserve">ガーリック枝豆</t>
  </si>
  <si>
    <t xml:space="preserve">サーモンマリネ</t>
  </si>
  <si>
    <t xml:space="preserve">ガーリックシュリンプ</t>
  </si>
  <si>
    <t xml:space="preserve">ミックスナッツ</t>
  </si>
  <si>
    <t xml:space="preserve">タパス</t>
  </si>
  <si>
    <t xml:space="preserve">温製おつまみ</t>
  </si>
  <si>
    <t xml:space="preserve">揚げ物盛り合わせ（からあげ・ポテト・イカ）</t>
  </si>
  <si>
    <t xml:space="preserve">イカの唐揚げ カラマリフリット</t>
  </si>
  <si>
    <t xml:space="preserve">ポテトフライ</t>
  </si>
  <si>
    <t xml:space="preserve">特製からあげ</t>
  </si>
  <si>
    <t xml:space="preserve">ピザポテト</t>
  </si>
  <si>
    <t xml:space="preserve">カリカリチーズフライ</t>
  </si>
  <si>
    <t xml:space="preserve">たこ焼き</t>
  </si>
  <si>
    <t xml:space="preserve">ベーコーン</t>
  </si>
  <si>
    <t xml:space="preserve">ベーコンとほうれん草のソテー</t>
  </si>
  <si>
    <t xml:space="preserve">おつまみマヨコーンピザ</t>
  </si>
  <si>
    <t xml:space="preserve">アヒージョ</t>
  </si>
  <si>
    <t xml:space="preserve">旨カラ牛バラ</t>
  </si>
  <si>
    <t xml:space="preserve">ミニじゃがバター</t>
  </si>
  <si>
    <t xml:space="preserve">ピザ</t>
  </si>
  <si>
    <t xml:space="preserve">マルゲリータ</t>
  </si>
  <si>
    <t xml:space="preserve">原価未入力（元データ0円）</t>
  </si>
  <si>
    <t xml:space="preserve">特製ガーリックピザ</t>
  </si>
  <si>
    <r>
      <rPr>
        <sz val="9"/>
        <color rgb="FFC00000"/>
        <rFont val="Meiryo UI"/>
        <family val="3"/>
        <charset val="1"/>
      </rPr>
      <t xml:space="preserve">KENKO</t>
    </r>
    <r>
      <rPr>
        <sz val="9"/>
        <color rgb="FFC00000"/>
        <rFont val="WenQuanYi Zen Hei"/>
        <family val="2"/>
      </rPr>
      <t xml:space="preserve">コラボ（メニュー表表記：ビーフガーリックピザ）</t>
    </r>
  </si>
  <si>
    <t xml:space="preserve">ビスククリームピザ</t>
  </si>
  <si>
    <r>
      <rPr>
        <sz val="9"/>
        <color rgb="FFC00000"/>
        <rFont val="Meiryo UI"/>
        <family val="3"/>
        <charset val="1"/>
      </rPr>
      <t xml:space="preserve">KENKO</t>
    </r>
    <r>
      <rPr>
        <sz val="9"/>
        <color rgb="FFC00000"/>
        <rFont val="WenQuanYi Zen Hei"/>
        <family val="2"/>
      </rPr>
      <t xml:space="preserve">コラボ</t>
    </r>
  </si>
  <si>
    <t xml:space="preserve">トルティーヤ</t>
  </si>
  <si>
    <t xml:space="preserve">トルティーヤ 照り焼きチキン</t>
  </si>
  <si>
    <t xml:space="preserve">要確認：レシピ名「唐揚げてりマヨトルティーヤ」</t>
  </si>
  <si>
    <t xml:space="preserve">トルティーヤ サーモンアボカド</t>
  </si>
  <si>
    <t xml:space="preserve">トルティーヤ コリアンエビ</t>
  </si>
  <si>
    <t xml:space="preserve">トルティーヤ 生ハムカマンベール</t>
  </si>
  <si>
    <t xml:space="preserve">トルティーヤ エビフライ</t>
  </si>
  <si>
    <t xml:space="preserve">ディッシュ</t>
  </si>
  <si>
    <t xml:space="preserve">ハンバーグディッシュ（デミソース）</t>
  </si>
  <si>
    <t xml:space="preserve">チキンディッシュ（トマトソース）</t>
  </si>
  <si>
    <t xml:space="preserve">ポークカツディッシュ（デミソース）</t>
  </si>
  <si>
    <t xml:space="preserve">カレー</t>
  </si>
  <si>
    <t xml:space="preserve">プレミアムロースかつカレー</t>
  </si>
  <si>
    <t xml:space="preserve">原価計算エラー（元データ）</t>
  </si>
  <si>
    <t xml:space="preserve">バターチキンカレー</t>
  </si>
  <si>
    <t xml:space="preserve">近江牛ミンチカレー</t>
  </si>
  <si>
    <t xml:space="preserve">要確認：レシピ名「キーマカレー」</t>
  </si>
  <si>
    <r>
      <rPr>
        <sz val="10"/>
        <color rgb="FFFF0000"/>
        <rFont val="Meiryo UI"/>
        <family val="3"/>
        <charset val="1"/>
      </rPr>
      <t xml:space="preserve">today's</t>
    </r>
    <r>
      <rPr>
        <sz val="10"/>
        <color rgb="FFFF0000"/>
        <rFont val="WenQuanYi Zen Hei"/>
        <family val="2"/>
      </rPr>
      <t xml:space="preserve">カレー</t>
    </r>
  </si>
  <si>
    <t xml:space="preserve">リストは1,023／メニュー表PDFは1,078</t>
  </si>
  <si>
    <r>
      <rPr>
        <b val="true"/>
        <sz val="10"/>
        <color rgb="FFFF0000"/>
        <rFont val="Meiryo UI"/>
        <family val="3"/>
        <charset val="1"/>
      </rPr>
      <t xml:space="preserve">today's</t>
    </r>
    <r>
      <rPr>
        <b val="true"/>
        <sz val="10"/>
        <color rgb="FFFF0000"/>
        <rFont val="WenQuanYi Zen Hei"/>
        <family val="2"/>
      </rPr>
      <t xml:space="preserve">カレー（ランチセット）</t>
    </r>
  </si>
  <si>
    <t xml:space="preserve">リゾット・煮込み</t>
  </si>
  <si>
    <t xml:space="preserve">カルボナーラリゾット</t>
  </si>
  <si>
    <t xml:space="preserve">ビスクリゾット</t>
  </si>
  <si>
    <t xml:space="preserve">カレーリゾット</t>
  </si>
  <si>
    <t xml:space="preserve">チキンのトマト煮込み</t>
  </si>
  <si>
    <t xml:space="preserve">煮込みハンバーグ</t>
  </si>
  <si>
    <t xml:space="preserve">肉料理・プレートライス</t>
  </si>
  <si>
    <t xml:space="preserve">サーロインステーキ</t>
  </si>
  <si>
    <t xml:space="preserve">お肉みっちみち！ジャーマンヴルスト</t>
  </si>
  <si>
    <t xml:space="preserve">仙台牛タンのグリル</t>
  </si>
  <si>
    <t xml:space="preserve">ガーリックステーキプレート</t>
  </si>
  <si>
    <t xml:space="preserve">ポークポパイプレート</t>
  </si>
  <si>
    <t xml:space="preserve">ベジボウル</t>
  </si>
  <si>
    <t xml:space="preserve">ローストビーフベジボウル</t>
  </si>
  <si>
    <r>
      <rPr>
        <sz val="9"/>
        <color rgb="FFC00000"/>
        <rFont val="Meiryo UI"/>
        <family val="3"/>
        <charset val="1"/>
      </rPr>
      <t xml:space="preserve">KENKO</t>
    </r>
    <r>
      <rPr>
        <sz val="9"/>
        <color rgb="FFC00000"/>
        <rFont val="WenQuanYi Zen Hei"/>
        <family val="2"/>
      </rPr>
      <t xml:space="preserve">コラボ。リスト</t>
    </r>
    <r>
      <rPr>
        <sz val="9"/>
        <color rgb="FFC00000"/>
        <rFont val="Meiryo UI"/>
        <family val="3"/>
        <charset val="1"/>
      </rPr>
      <t xml:space="preserve">P9</t>
    </r>
    <r>
      <rPr>
        <sz val="9"/>
        <color rgb="FFC00000"/>
        <rFont val="WenQuanYi Zen Hei"/>
        <family val="2"/>
      </rPr>
      <t xml:space="preserve">は</t>
    </r>
    <r>
      <rPr>
        <sz val="9"/>
        <color rgb="FFC00000"/>
        <rFont val="Meiryo UI"/>
        <family val="3"/>
        <charset val="1"/>
      </rPr>
      <t xml:space="preserve">1,408</t>
    </r>
    <r>
      <rPr>
        <sz val="9"/>
        <color rgb="FFC00000"/>
        <rFont val="WenQuanYi Zen Hei"/>
        <family val="2"/>
      </rPr>
      <t xml:space="preserve">／</t>
    </r>
    <r>
      <rPr>
        <sz val="9"/>
        <color rgb="FFC00000"/>
        <rFont val="Meiryo UI"/>
        <family val="3"/>
        <charset val="1"/>
      </rPr>
      <t xml:space="preserve">PDF</t>
    </r>
    <r>
      <rPr>
        <sz val="9"/>
        <color rgb="FFC00000"/>
        <rFont val="WenQuanYi Zen Hei"/>
        <family val="2"/>
      </rPr>
      <t xml:space="preserve">は</t>
    </r>
    <r>
      <rPr>
        <sz val="9"/>
        <color rgb="FFC00000"/>
        <rFont val="Meiryo UI"/>
        <family val="3"/>
        <charset val="1"/>
      </rPr>
      <t xml:space="preserve">1,518</t>
    </r>
  </si>
  <si>
    <t xml:space="preserve">ガーリックシュリンプベジボウル</t>
  </si>
  <si>
    <r>
      <rPr>
        <sz val="9"/>
        <color rgb="FFC00000"/>
        <rFont val="Meiryo UI"/>
        <family val="3"/>
        <charset val="1"/>
      </rPr>
      <t xml:space="preserve">KENKO</t>
    </r>
    <r>
      <rPr>
        <sz val="9"/>
        <color rgb="FFC00000"/>
        <rFont val="WenQuanYi Zen Hei"/>
        <family val="2"/>
      </rPr>
      <t xml:space="preserve">コラボ。リスト</t>
    </r>
    <r>
      <rPr>
        <sz val="9"/>
        <color rgb="FFC00000"/>
        <rFont val="Meiryo UI"/>
        <family val="3"/>
        <charset val="1"/>
      </rPr>
      <t xml:space="preserve">P9</t>
    </r>
    <r>
      <rPr>
        <sz val="9"/>
        <color rgb="FFC00000"/>
        <rFont val="WenQuanYi Zen Hei"/>
        <family val="2"/>
      </rPr>
      <t xml:space="preserve">は</t>
    </r>
    <r>
      <rPr>
        <sz val="9"/>
        <color rgb="FFC00000"/>
        <rFont val="Meiryo UI"/>
        <family val="3"/>
        <charset val="1"/>
      </rPr>
      <t xml:space="preserve">1,298</t>
    </r>
    <r>
      <rPr>
        <sz val="9"/>
        <color rgb="FFC00000"/>
        <rFont val="WenQuanYi Zen Hei"/>
        <family val="2"/>
      </rPr>
      <t xml:space="preserve">／</t>
    </r>
    <r>
      <rPr>
        <sz val="9"/>
        <color rgb="FFC00000"/>
        <rFont val="Meiryo UI"/>
        <family val="3"/>
        <charset val="1"/>
      </rPr>
      <t xml:space="preserve">PDF</t>
    </r>
    <r>
      <rPr>
        <sz val="9"/>
        <color rgb="FFC00000"/>
        <rFont val="WenQuanYi Zen Hei"/>
        <family val="2"/>
      </rPr>
      <t xml:space="preserve">は</t>
    </r>
    <r>
      <rPr>
        <sz val="9"/>
        <color rgb="FFC00000"/>
        <rFont val="Meiryo UI"/>
        <family val="3"/>
        <charset val="1"/>
      </rPr>
      <t xml:space="preserve">1,408</t>
    </r>
  </si>
  <si>
    <t xml:space="preserve">サーモンアボカドベジボウル</t>
  </si>
  <si>
    <t xml:space="preserve">リストは1,298／PDFは1,408</t>
  </si>
  <si>
    <t xml:space="preserve">サラダ</t>
  </si>
  <si>
    <t xml:space="preserve">温玉シーザーサラダ</t>
  </si>
  <si>
    <t xml:space="preserve">生ハムサラダ</t>
  </si>
  <si>
    <t xml:space="preserve">ローストビーフサラダ</t>
  </si>
  <si>
    <t xml:space="preserve">エビとブロッコリーのフレンチサラダ</t>
  </si>
  <si>
    <t xml:space="preserve">ごはん・パン</t>
  </si>
  <si>
    <t xml:space="preserve">ごはん単品</t>
  </si>
  <si>
    <t xml:space="preserve">ごはんセット（味噌汁）</t>
  </si>
  <si>
    <t xml:space="preserve">ごはん大盛り</t>
  </si>
  <si>
    <t xml:space="preserve">カンパーニュ単品</t>
  </si>
  <si>
    <t xml:space="preserve">カンパーニュスープセット</t>
  </si>
  <si>
    <t xml:space="preserve">うどん</t>
  </si>
  <si>
    <t xml:space="preserve">釜玉チーズカレーうどん</t>
  </si>
  <si>
    <t xml:space="preserve">カルボナーラうどん</t>
  </si>
  <si>
    <t xml:space="preserve">肉うどん</t>
  </si>
  <si>
    <t xml:space="preserve">ぶっかけうどん（冷）</t>
  </si>
  <si>
    <t xml:space="preserve">ぶっかけうどん（温）</t>
  </si>
  <si>
    <t xml:space="preserve">パスタ</t>
  </si>
  <si>
    <t xml:space="preserve">濃厚カルボナーラパスタ</t>
  </si>
  <si>
    <t xml:space="preserve">近江牛ボロネーゼ風パスタ</t>
  </si>
  <si>
    <t xml:space="preserve">リストは1,628／メニュー表PDFは1,518</t>
  </si>
  <si>
    <t xml:space="preserve">ビスククリームパスタ</t>
  </si>
  <si>
    <t xml:space="preserve">ほうれん草と生ハムのガーリックパスタ</t>
  </si>
  <si>
    <r>
      <rPr>
        <b val="true"/>
        <sz val="10"/>
        <color rgb="FFFF0000"/>
        <rFont val="Meiryo UI"/>
        <family val="3"/>
        <charset val="1"/>
      </rPr>
      <t xml:space="preserve">today's</t>
    </r>
    <r>
      <rPr>
        <b val="true"/>
        <sz val="10"/>
        <color rgb="FFFF0000"/>
        <rFont val="WenQuanYi Zen Hei"/>
        <family val="2"/>
      </rPr>
      <t xml:space="preserve">パスタ</t>
    </r>
  </si>
  <si>
    <t xml:space="preserve">パスタ、トマトソース、ベーコン、他調味料で計算 レシピなし／原価未登録／リストは1,023／メニュー表PDFは1,078</t>
  </si>
  <si>
    <r>
      <rPr>
        <b val="true"/>
        <sz val="10"/>
        <color rgb="FFFF0000"/>
        <rFont val="Meiryo UI"/>
        <family val="3"/>
        <charset val="1"/>
      </rPr>
      <t xml:space="preserve">today's</t>
    </r>
    <r>
      <rPr>
        <b val="true"/>
        <sz val="10"/>
        <color rgb="FFFF0000"/>
        <rFont val="WenQuanYi Zen Hei"/>
        <family val="2"/>
      </rPr>
      <t xml:space="preserve">パスタ（ランチセット）</t>
    </r>
  </si>
  <si>
    <t xml:space="preserve">パスタ、トマトソース、ベーコン、他調味料で計算 レシピなし／原価未登録</t>
  </si>
  <si>
    <t xml:space="preserve">ソフトドリンク</t>
  </si>
  <si>
    <t xml:space="preserve">アイスティー</t>
  </si>
  <si>
    <t xml:space="preserve">黒ウーロン茶</t>
  </si>
  <si>
    <t xml:space="preserve">レシピ名「ウーロン茶」</t>
  </si>
  <si>
    <t xml:space="preserve">ホットコーヒー</t>
  </si>
  <si>
    <t xml:space="preserve">アイスカフェオレ</t>
  </si>
  <si>
    <t xml:space="preserve">ジンジャーエール</t>
  </si>
  <si>
    <t xml:space="preserve">コーラ</t>
  </si>
  <si>
    <t xml:space="preserve">オレンジジュース</t>
  </si>
  <si>
    <t xml:space="preserve">レモンスカッシュ</t>
  </si>
  <si>
    <t xml:space="preserve">カルピス</t>
  </si>
  <si>
    <t xml:space="preserve">カルピスソーダ</t>
  </si>
  <si>
    <t xml:space="preserve">メロンソーダ</t>
  </si>
  <si>
    <t xml:space="preserve">アイスコーヒー</t>
  </si>
  <si>
    <t xml:space="preserve">レシピ名「コーヒー」</t>
  </si>
  <si>
    <t xml:space="preserve">アクリ</t>
  </si>
  <si>
    <t xml:space="preserve">現在は未販売</t>
  </si>
  <si>
    <t xml:space="preserve">リポスパ</t>
  </si>
  <si>
    <t xml:space="preserve">フロート</t>
  </si>
  <si>
    <t xml:space="preserve">コーヒーフロート</t>
  </si>
  <si>
    <t xml:space="preserve">レモンスカッシュフロート</t>
  </si>
  <si>
    <t xml:space="preserve">オレンジフロート</t>
  </si>
  <si>
    <t xml:space="preserve">カルピスフロート</t>
  </si>
  <si>
    <t xml:space="preserve">カルピスソーダフロート</t>
  </si>
  <si>
    <t xml:space="preserve">コーラフロート</t>
  </si>
  <si>
    <t xml:space="preserve">メロンソーダフロート</t>
  </si>
  <si>
    <t xml:space="preserve">リポスパフロート</t>
  </si>
  <si>
    <t xml:space="preserve">デザート</t>
  </si>
  <si>
    <t xml:space="preserve">ソフトクリーム</t>
  </si>
  <si>
    <t xml:space="preserve">チョコバナナミニパフェ</t>
  </si>
  <si>
    <t xml:space="preserve">レシピ名「チョコレートパフェ」</t>
  </si>
  <si>
    <t xml:space="preserve">抹茶ミニパフェ</t>
  </si>
  <si>
    <t xml:space="preserve">マンゴーミニパフェ</t>
  </si>
  <si>
    <t xml:space="preserve">ブルーベリーのミニパフェ</t>
  </si>
  <si>
    <t xml:space="preserve">白玉サンデー黒蜜きなこミニパフェ</t>
  </si>
  <si>
    <t xml:space="preserve">ストロベリーのミニパフェ</t>
  </si>
  <si>
    <t xml:space="preserve">レシピ名「ベリーのミニパフェ」（ストロベリーシロップ使用）</t>
  </si>
  <si>
    <t xml:space="preserve">ブルーベリートルティーヤ</t>
  </si>
  <si>
    <t xml:space="preserve">ストロベリートルティーヤ</t>
  </si>
  <si>
    <t xml:space="preserve">マンゴートルティーヤ</t>
  </si>
  <si>
    <t xml:space="preserve">チョコバナナトルティーヤ</t>
  </si>
  <si>
    <t xml:space="preserve">抹茶トルティーヤ</t>
  </si>
  <si>
    <t xml:space="preserve">分類別サマリー（一覧シートの原価を変更すると自動更新）</t>
  </si>
  <si>
    <t xml:space="preserve">品数</t>
  </si>
  <si>
    <t xml:space="preserve">うち原価未登録</t>
  </si>
  <si>
    <t xml:space="preserve">合計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</si>
</sst>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\品"/>
    <numFmt numFmtId="167" formatCode="\¥#,##0"/>
    <numFmt numFmtId="168" formatCode="0.0%"/>
    <numFmt numFmtId="169" formatCode="\¥#,##0.0"/>
    <numFmt numFmtId="170" formatCode="&quot;+¥&quot;#,##0;&quot;-¥&quot;#,##0;&quot;±0&quot;"/>
    <numFmt numFmtId="171" formatCode="0\品;;\-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Meiryo UI"/>
      <family val="3"/>
      <charset val="1"/>
    </font>
    <font>
      <b val="true"/>
      <sz val="16"/>
      <color rgb="FF1F3864"/>
      <name val="WenQuanYi Zen Hei"/>
      <family val="2"/>
    </font>
    <font>
      <sz val="9"/>
      <color rgb="FF7F7F7F"/>
      <name val="WenQuanYi Zen Hei"/>
      <family val="2"/>
      <charset val="1"/>
    </font>
    <font>
      <b val="true"/>
      <sz val="11"/>
      <color rgb="FFFFFFFF"/>
      <name val="WenQuanYi Zen Hei"/>
      <family val="2"/>
      <charset val="1"/>
    </font>
    <font>
      <b val="true"/>
      <sz val="11"/>
      <name val="WenQuanYi Zen Hei"/>
      <family val="2"/>
      <charset val="1"/>
    </font>
    <font>
      <b val="true"/>
      <sz val="11"/>
      <color rgb="FF0000FF"/>
      <name val="Meiryo UI"/>
      <family val="3"/>
      <charset val="1"/>
    </font>
    <font>
      <b val="true"/>
      <sz val="11"/>
      <name val="Meiryo UI"/>
      <family val="3"/>
      <charset val="1"/>
    </font>
    <font>
      <sz val="9"/>
      <name val="Noto Sans CJK SC"/>
      <family val="2"/>
      <charset val="1"/>
    </font>
    <font>
      <sz val="11"/>
      <color theme="1"/>
      <name val="WenQuanYi Zen Hei"/>
      <family val="2"/>
      <charset val="1"/>
    </font>
    <font>
      <b val="true"/>
      <sz val="11"/>
      <color rgb="FFFFFFFF"/>
      <name val="Meiryo UI"/>
      <family val="3"/>
      <charset val="1"/>
    </font>
    <font>
      <sz val="10"/>
      <name val="Meiryo UI"/>
      <family val="3"/>
      <charset val="1"/>
    </font>
    <font>
      <sz val="10"/>
      <name val="WenQuanYi Zen Hei"/>
      <family val="2"/>
      <charset val="1"/>
    </font>
    <font>
      <sz val="10"/>
      <color rgb="FFFF0000"/>
      <name val="WenQuanYi Zen Hei"/>
      <family val="2"/>
      <charset val="1"/>
    </font>
    <font>
      <sz val="10"/>
      <color rgb="FF0000FF"/>
      <name val="Meiryo UI"/>
      <family val="3"/>
      <charset val="1"/>
    </font>
    <font>
      <b val="true"/>
      <sz val="10"/>
      <color rgb="FF0000FF"/>
      <name val="Meiryo UI"/>
      <family val="3"/>
      <charset val="1"/>
    </font>
    <font>
      <b val="true"/>
      <sz val="10"/>
      <name val="Meiryo UI"/>
      <family val="3"/>
      <charset val="1"/>
    </font>
    <font>
      <sz val="9"/>
      <color rgb="FFC00000"/>
      <name val="Meiryo UI"/>
      <family val="3"/>
      <charset val="1"/>
    </font>
    <font>
      <b val="true"/>
      <sz val="10"/>
      <color rgb="FFFF0000"/>
      <name val="WenQuanYi Zen Hei"/>
      <family val="2"/>
      <charset val="1"/>
    </font>
    <font>
      <sz val="9"/>
      <color rgb="FF375623"/>
      <name val="WenQuanYi Zen Hei"/>
      <family val="2"/>
      <charset val="1"/>
    </font>
    <font>
      <b val="true"/>
      <sz val="10"/>
      <color rgb="FFFF0000"/>
      <name val="Meiryo UI"/>
      <family val="3"/>
      <charset val="1"/>
    </font>
    <font>
      <b val="true"/>
      <sz val="10"/>
      <color rgb="FFFF0000"/>
      <name val="WenQuanYi Zen Hei"/>
      <family val="2"/>
    </font>
    <font>
      <sz val="9"/>
      <color rgb="FFC00000"/>
      <name val="WenQuanYi Zen Hei"/>
      <family val="2"/>
      <charset val="1"/>
    </font>
    <font>
      <b val="true"/>
      <sz val="10"/>
      <color rgb="FF375623"/>
      <name val="Meiryo UI"/>
      <family val="3"/>
      <charset val="1"/>
    </font>
    <font>
      <b val="true"/>
      <sz val="10"/>
      <color rgb="FF375623"/>
      <name val="WenQuanYi Zen Hei"/>
      <family val="2"/>
    </font>
    <font>
      <b val="true"/>
      <sz val="10"/>
      <color rgb="FF375623"/>
      <name val="WenQuanYi Zen Hei"/>
      <family val="2"/>
      <charset val="1"/>
    </font>
    <font>
      <sz val="9"/>
      <color rgb="FFC00000"/>
      <name val="WenQuanYi Zen Hei"/>
      <family val="2"/>
    </font>
    <font>
      <sz val="10"/>
      <color rgb="FFFF0000"/>
      <name val="Meiryo UI"/>
      <family val="3"/>
      <charset val="1"/>
    </font>
    <font>
      <sz val="10"/>
      <color rgb="FFFF0000"/>
      <name val="WenQuanYi Zen Hei"/>
      <family val="2"/>
    </font>
    <font>
      <sz val="9"/>
      <color rgb="FFFF0000"/>
      <name val="WenQuanYi Zen Hei"/>
      <family val="2"/>
      <charset val="1"/>
    </font>
    <font>
      <sz val="10"/>
      <color theme="1"/>
      <name val="WenQuanYi Zen Hei"/>
      <family val="2"/>
      <charset val="1"/>
    </font>
    <font>
      <sz val="10"/>
      <name val="WenQuanYi Zen Hei"/>
      <family val="2"/>
    </font>
    <font>
      <b val="true"/>
      <sz val="14"/>
      <color rgb="FF1F3864"/>
      <name val="WenQuanYi Zen Hei"/>
      <family val="2"/>
      <charset val="1"/>
    </font>
    <font>
      <sz val="10"/>
      <color rgb="FF000000"/>
      <name val="WenQuanYi Zen Hei"/>
      <family val="2"/>
      <charset val="1"/>
    </font>
    <font>
      <sz val="10"/>
      <color rgb="FF008000"/>
      <name val="Meiryo UI"/>
      <family val="3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FF2CC"/>
        <bgColor rgb="FFFFF0E0"/>
      </patternFill>
    </fill>
    <fill>
      <patternFill patternType="solid">
        <fgColor rgb="FFBF8F00"/>
        <bgColor rgb="FF808000"/>
      </patternFill>
    </fill>
    <fill>
      <patternFill patternType="solid">
        <fgColor rgb="FF595959"/>
        <bgColor rgb="FF375623"/>
      </patternFill>
    </fill>
    <fill>
      <patternFill patternType="solid">
        <fgColor rgb="FFF7F9FC"/>
        <bgColor rgb="FFFFFFFF"/>
      </patternFill>
    </fill>
    <fill>
      <patternFill patternType="solid">
        <fgColor rgb="FFE2F0D9"/>
        <bgColor rgb="FFDDEBF7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0E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ont>
        <b val="1"/>
        <color rgb="FFC00000"/>
      </font>
      <fill>
        <patternFill>
          <bgColor rgb="FFFCE4E4"/>
        </patternFill>
      </fill>
    </dxf>
    <dxf>
      <font>
        <b val="1"/>
        <color rgb="FFC65911"/>
      </font>
      <fill>
        <patternFill>
          <bgColor rgb="FFFFF0E0"/>
        </patternFill>
      </fill>
    </dxf>
    <dxf>
      <font>
        <b val="1"/>
        <color rgb="FF1F4E79"/>
      </font>
      <fill>
        <patternFill>
          <bgColor rgb="FFDDEBF7"/>
        </patternFill>
      </fill>
    </dxf>
    <dxf>
      <font>
        <b val="1"/>
        <color rgb="FFC65911"/>
      </font>
    </dxf>
    <dxf>
      <font>
        <b val="1"/>
        <color rgb="FF375623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E2F0D9"/>
      <rgbColor rgb="FFFFF0E0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BF8F00"/>
      <rgbColor rgb="FFC659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K1" activeCellId="0" sqref="K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6" min="5" style="0" width="11"/>
    <col collapsed="false" customWidth="true" hidden="false" outlineLevel="0" max="7" min="7" style="0" width="17"/>
    <col collapsed="false" customWidth="true" hidden="false" outlineLevel="0" max="8" min="8" style="0" width="10"/>
    <col collapsed="false" customWidth="true" hidden="false" outlineLevel="0" max="13" min="9" style="0" width="12"/>
    <col collapsed="false" customWidth="true" hidden="false" outlineLevel="0" max="14" min="14" style="0" width="10"/>
    <col collapsed="false" customWidth="true" hidden="false" outlineLevel="0" max="15" min="15" style="0" width="52"/>
  </cols>
  <sheetData>
    <row r="1" customFormat="false" ht="22.5" hidden="false" customHeight="tru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3" customFormat="false" ht="14.25" hidden="false" customHeight="false" outlineLevel="0" collapsed="false">
      <c r="C3" s="3" t="s">
        <v>2</v>
      </c>
      <c r="D3" s="3" t="s">
        <v>3</v>
      </c>
    </row>
    <row r="4" customFormat="false" ht="15" hidden="false" customHeight="true" outlineLevel="0" collapsed="false">
      <c r="A4" s="4" t="s">
        <v>4</v>
      </c>
      <c r="C4" s="5" t="n">
        <v>0.1</v>
      </c>
      <c r="D4" s="5" t="n">
        <v>0.1</v>
      </c>
      <c r="E4" s="4"/>
      <c r="F4" s="4" t="s">
        <v>5</v>
      </c>
      <c r="G4" s="6" t="n">
        <f aca="false">COUNTIF(N11:N159,"&gt;0")</f>
        <v>125</v>
      </c>
    </row>
    <row r="5" customFormat="false" ht="15" hidden="false" customHeight="true" outlineLevel="0" collapsed="false">
      <c r="A5" s="4" t="s">
        <v>6</v>
      </c>
      <c r="C5" s="6" t="n">
        <f aca="false">COUNTA(D11:D159)</f>
        <v>149</v>
      </c>
      <c r="D5" s="6" t="n">
        <f aca="false">COUNTA(D11:D159)</f>
        <v>149</v>
      </c>
      <c r="E5" s="7"/>
      <c r="F5" s="4" t="s">
        <v>7</v>
      </c>
      <c r="G5" s="8" t="n">
        <f aca="false">IFERROR(AVERAGEIF(N11:N159,"&gt;0"),"")</f>
        <v>29.52</v>
      </c>
    </row>
    <row r="6" customFormat="false" ht="15" hidden="false" customHeight="true" outlineLevel="0" collapsed="false">
      <c r="A6" s="4" t="s">
        <v>8</v>
      </c>
      <c r="C6" s="9" t="n">
        <f aca="false">IFERROR(AVERAGEIF(G11:G159,"&gt;0",H11:H159),"")</f>
        <v>0.285498176807762</v>
      </c>
      <c r="D6" s="9" t="n">
        <f aca="false">IFERROR(AVERAGEIF(G11:G159,"&gt;0",L11:L159),"")</f>
        <v>0.275752078223537</v>
      </c>
      <c r="E6" s="7"/>
      <c r="F6" s="4" t="s">
        <v>9</v>
      </c>
      <c r="G6" s="9" t="n">
        <f aca="false">IFERROR(SUMPRODUCT((N11:N159&gt;0)*(J11:J159/E11:E159-1))/G4,"")</f>
        <v>0.0408379140694976</v>
      </c>
    </row>
    <row r="7" customFormat="false" ht="15" hidden="false" customHeight="true" outlineLevel="0" collapsed="false">
      <c r="A7" s="4" t="s">
        <v>10</v>
      </c>
      <c r="C7" s="8" t="n">
        <f aca="false">IFERROR(AVERAGEIF(G11:G159,"&gt;0",I11:I159),"")</f>
        <v>516.422480021316</v>
      </c>
      <c r="D7" s="8" t="n">
        <f aca="false">IFERROR(AVERAGEIF(G11:G159,"&gt;0",M11:M159),"")</f>
        <v>539.073164952823</v>
      </c>
      <c r="E7" s="7"/>
    </row>
    <row r="8" customFormat="false" ht="15" hidden="false" customHeight="true" outlineLevel="0" collapsed="false">
      <c r="A8" s="4" t="s">
        <v>11</v>
      </c>
      <c r="C8" s="6" t="n">
        <f aca="false">COUNTA(D11:D159)-COUNTIF(G11:G159,"&gt;0")</f>
        <v>3</v>
      </c>
      <c r="E8" s="7"/>
    </row>
    <row r="9" customFormat="false" ht="14.25" hidden="false" customHeight="false" outlineLevel="0" collapsed="false">
      <c r="J9" s="10" t="s">
        <v>12</v>
      </c>
    </row>
    <row r="10" customFormat="false" ht="30" hidden="false" customHeight="true" outlineLevel="0" collapsed="false">
      <c r="A10" s="11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12" t="s">
        <v>19</v>
      </c>
      <c r="H10" s="3" t="s">
        <v>20</v>
      </c>
      <c r="I10" s="3" t="s">
        <v>21</v>
      </c>
      <c r="J10" s="12" t="s">
        <v>22</v>
      </c>
      <c r="K10" s="3" t="s">
        <v>18</v>
      </c>
      <c r="L10" s="3" t="s">
        <v>20</v>
      </c>
      <c r="M10" s="3" t="s">
        <v>21</v>
      </c>
      <c r="N10" s="13" t="s">
        <v>23</v>
      </c>
      <c r="O10" s="3" t="s">
        <v>24</v>
      </c>
    </row>
    <row r="11" customFormat="false" ht="14.25" hidden="false" customHeight="false" outlineLevel="0" collapsed="false">
      <c r="A11" s="14" t="n">
        <v>1</v>
      </c>
      <c r="B11" s="15" t="s">
        <v>25</v>
      </c>
      <c r="C11" s="16" t="s">
        <v>26</v>
      </c>
      <c r="D11" s="17" t="s">
        <v>27</v>
      </c>
      <c r="E11" s="18" t="n">
        <v>855</v>
      </c>
      <c r="F11" s="19" t="n">
        <f aca="false">IF(E11="","",ROUND(E11/(1+$C$4),0))</f>
        <v>777</v>
      </c>
      <c r="G11" s="20" t="n">
        <v>284.4</v>
      </c>
      <c r="H11" s="21" t="n">
        <f aca="false">IF(OR(F11="",F11=0,G11=""),"",G11/F11)</f>
        <v>0.366023166023166</v>
      </c>
      <c r="I11" s="22" t="n">
        <f aca="false">IF(OR(F11="",G11=""),"",F11-G11)</f>
        <v>492.6</v>
      </c>
      <c r="J11" s="23" t="n">
        <v>855</v>
      </c>
      <c r="K11" s="19" t="n">
        <f aca="false">IF(J11="","",ROUND(J11/(1+$D$4),0))</f>
        <v>777</v>
      </c>
      <c r="L11" s="21" t="n">
        <f aca="false">IF(OR(K11="",K11=0,G11=""),"",G11/K11)</f>
        <v>0.366023166023166</v>
      </c>
      <c r="M11" s="22" t="n">
        <f aca="false">IF(OR(K11="",G11=""),"",K11-G11)</f>
        <v>492.6</v>
      </c>
      <c r="N11" s="24" t="n">
        <f aca="false">J11-E11</f>
        <v>0</v>
      </c>
      <c r="O11" s="25"/>
    </row>
    <row r="12" customFormat="false" ht="14.25" hidden="false" customHeight="false" outlineLevel="0" collapsed="false">
      <c r="A12" s="26" t="n">
        <v>2</v>
      </c>
      <c r="B12" s="27" t="s">
        <v>25</v>
      </c>
      <c r="C12" s="28" t="s">
        <v>26</v>
      </c>
      <c r="D12" s="29" t="s">
        <v>28</v>
      </c>
      <c r="E12" s="30" t="n">
        <v>855</v>
      </c>
      <c r="F12" s="31" t="n">
        <f aca="false">IF(E12="","",ROUND(E12/(1+$C$4),0))</f>
        <v>777</v>
      </c>
      <c r="G12" s="20" t="n">
        <v>307.2</v>
      </c>
      <c r="H12" s="32" t="n">
        <f aca="false">IF(OR(F12="",F12=0,G12=""),"",G12/F12)</f>
        <v>0.395366795366795</v>
      </c>
      <c r="I12" s="33" t="n">
        <f aca="false">IF(OR(F12="",G12=""),"",F12-G12)</f>
        <v>469.8</v>
      </c>
      <c r="J12" s="23" t="n">
        <v>855</v>
      </c>
      <c r="K12" s="31" t="n">
        <f aca="false">IF(J12="","",ROUND(J12/(1+$D$4),0))</f>
        <v>777</v>
      </c>
      <c r="L12" s="21" t="n">
        <f aca="false">IF(OR(K12="",K12=0,G12=""),"",G12/K12)</f>
        <v>0.395366795366795</v>
      </c>
      <c r="M12" s="22" t="n">
        <f aca="false">IF(OR(K12="",G12=""),"",K12-G12)</f>
        <v>469.8</v>
      </c>
      <c r="N12" s="34" t="n">
        <f aca="false">J12-E12</f>
        <v>0</v>
      </c>
      <c r="O12" s="35" t="s">
        <v>29</v>
      </c>
    </row>
    <row r="13" customFormat="false" ht="14.25" hidden="false" customHeight="false" outlineLevel="0" collapsed="false">
      <c r="A13" s="14" t="n">
        <v>3</v>
      </c>
      <c r="B13" s="15" t="s">
        <v>25</v>
      </c>
      <c r="C13" s="16" t="s">
        <v>26</v>
      </c>
      <c r="D13" s="29" t="s">
        <v>30</v>
      </c>
      <c r="E13" s="18" t="n">
        <v>855</v>
      </c>
      <c r="F13" s="19" t="n">
        <f aca="false">IF(E13="","",ROUND(E13/(1+$C$4),0))</f>
        <v>777</v>
      </c>
      <c r="G13" s="20" t="n">
        <v>321.7</v>
      </c>
      <c r="H13" s="21" t="n">
        <f aca="false">IF(OR(F13="",F13=0,G13=""),"",G13/F13)</f>
        <v>0.414028314028314</v>
      </c>
      <c r="I13" s="22" t="n">
        <f aca="false">IF(OR(F13="",G13=""),"",F13-G13)</f>
        <v>455.3</v>
      </c>
      <c r="J13" s="23" t="n">
        <v>855</v>
      </c>
      <c r="K13" s="19" t="n">
        <f aca="false">IF(J13="","",ROUND(J13/(1+$D$4),0))</f>
        <v>777</v>
      </c>
      <c r="L13" s="21" t="n">
        <f aca="false">IF(OR(K13="",K13=0,G13=""),"",G13/K13)</f>
        <v>0.414028314028314</v>
      </c>
      <c r="M13" s="22" t="n">
        <f aca="false">IF(OR(K13="",G13=""),"",K13-G13)</f>
        <v>455.3</v>
      </c>
      <c r="N13" s="24" t="n">
        <f aca="false">J13-E13</f>
        <v>0</v>
      </c>
      <c r="O13" s="36" t="s">
        <v>29</v>
      </c>
    </row>
    <row r="14" customFormat="false" ht="14.25" hidden="false" customHeight="false" outlineLevel="0" collapsed="false">
      <c r="A14" s="26" t="n">
        <v>4</v>
      </c>
      <c r="B14" s="27" t="s">
        <v>25</v>
      </c>
      <c r="C14" s="28" t="s">
        <v>26</v>
      </c>
      <c r="D14" s="29" t="s">
        <v>31</v>
      </c>
      <c r="E14" s="30" t="n">
        <v>855</v>
      </c>
      <c r="F14" s="31" t="n">
        <f aca="false">IF(E14="","",ROUND(E14/(1+$C$4),0))</f>
        <v>777</v>
      </c>
      <c r="G14" s="20" t="n">
        <v>307.2</v>
      </c>
      <c r="H14" s="32" t="n">
        <f aca="false">IF(OR(F14="",F14=0,G14=""),"",G14/F14)</f>
        <v>0.395366795366795</v>
      </c>
      <c r="I14" s="33" t="n">
        <f aca="false">IF(OR(F14="",G14=""),"",F14-G14)</f>
        <v>469.8</v>
      </c>
      <c r="J14" s="23" t="n">
        <v>855</v>
      </c>
      <c r="K14" s="31" t="n">
        <f aca="false">IF(J14="","",ROUND(J14/(1+$D$4),0))</f>
        <v>777</v>
      </c>
      <c r="L14" s="21" t="n">
        <f aca="false">IF(OR(K14="",K14=0,G14=""),"",G14/K14)</f>
        <v>0.395366795366795</v>
      </c>
      <c r="M14" s="22" t="n">
        <f aca="false">IF(OR(K14="",G14=""),"",K14-G14)</f>
        <v>469.8</v>
      </c>
      <c r="N14" s="34" t="n">
        <f aca="false">J14-E14</f>
        <v>0</v>
      </c>
      <c r="O14" s="35" t="s">
        <v>29</v>
      </c>
    </row>
    <row r="15" customFormat="false" ht="14.25" hidden="false" customHeight="false" outlineLevel="0" collapsed="false">
      <c r="A15" s="14" t="n">
        <v>5</v>
      </c>
      <c r="B15" s="15" t="s">
        <v>25</v>
      </c>
      <c r="C15" s="16" t="s">
        <v>26</v>
      </c>
      <c r="D15" s="37" t="s">
        <v>32</v>
      </c>
      <c r="E15" s="18" t="n">
        <v>1023</v>
      </c>
      <c r="F15" s="19" t="n">
        <f aca="false">IF(E15="","",ROUND(E15/(1+$C$4),0))</f>
        <v>930</v>
      </c>
      <c r="G15" s="20" t="n">
        <v>568.8</v>
      </c>
      <c r="H15" s="21" t="n">
        <f aca="false">IF(OR(F15="",F15=0,G15=""),"",G15/F15)</f>
        <v>0.611612903225806</v>
      </c>
      <c r="I15" s="22" t="n">
        <f aca="false">IF(OR(F15="",G15=""),"",F15-G15)</f>
        <v>361.2</v>
      </c>
      <c r="J15" s="23" t="n">
        <v>1353</v>
      </c>
      <c r="K15" s="19" t="n">
        <f aca="false">IF(J15="","",ROUND(J15/(1+$D$4),0))</f>
        <v>1230</v>
      </c>
      <c r="L15" s="21" t="n">
        <f aca="false">IF(OR(K15="",K15=0,G15=""),"",G15/K15)</f>
        <v>0.462439024390244</v>
      </c>
      <c r="M15" s="22" t="n">
        <f aca="false">IF(OR(K15="",G15=""),"",K15-G15)</f>
        <v>661.2</v>
      </c>
      <c r="N15" s="24" t="n">
        <f aca="false">J15-E15</f>
        <v>330</v>
      </c>
      <c r="O15" s="36" t="s">
        <v>29</v>
      </c>
    </row>
    <row r="16" customFormat="false" ht="14.25" hidden="false" customHeight="false" outlineLevel="0" collapsed="false">
      <c r="A16" s="26" t="n">
        <v>6</v>
      </c>
      <c r="B16" s="27" t="s">
        <v>25</v>
      </c>
      <c r="C16" s="28" t="s">
        <v>26</v>
      </c>
      <c r="D16" s="38" t="s">
        <v>33</v>
      </c>
      <c r="E16" s="30" t="n">
        <v>968</v>
      </c>
      <c r="F16" s="31" t="n">
        <f aca="false">IF(E16="","",ROUND(E16/(1+$C$4),0))</f>
        <v>880</v>
      </c>
      <c r="G16" s="20" t="n">
        <v>310</v>
      </c>
      <c r="H16" s="32" t="n">
        <f aca="false">IF(OR(F16="",F16=0,G16=""),"",G16/F16)</f>
        <v>0.352272727272727</v>
      </c>
      <c r="I16" s="33" t="n">
        <f aca="false">IF(OR(F16="",G16=""),"",F16-G16)</f>
        <v>570</v>
      </c>
      <c r="J16" s="23" t="n">
        <v>988</v>
      </c>
      <c r="K16" s="31" t="n">
        <f aca="false">IF(J16="","",ROUND(J16/(1+$D$4),0))</f>
        <v>898</v>
      </c>
      <c r="L16" s="21" t="n">
        <f aca="false">IF(OR(K16="",K16=0,G16=""),"",G16/K16)</f>
        <v>0.345211581291759</v>
      </c>
      <c r="M16" s="22" t="n">
        <f aca="false">IF(OR(K16="",G16=""),"",K16-G16)</f>
        <v>588</v>
      </c>
      <c r="N16" s="34" t="n">
        <f aca="false">J16-E16</f>
        <v>20</v>
      </c>
      <c r="O16" s="39"/>
    </row>
    <row r="17" customFormat="false" ht="14.25" hidden="false" customHeight="false" outlineLevel="0" collapsed="false">
      <c r="A17" s="14" t="n">
        <v>7</v>
      </c>
      <c r="B17" s="15" t="s">
        <v>25</v>
      </c>
      <c r="C17" s="16" t="s">
        <v>26</v>
      </c>
      <c r="D17" s="17" t="s">
        <v>34</v>
      </c>
      <c r="E17" s="18" t="n">
        <v>968</v>
      </c>
      <c r="F17" s="19" t="n">
        <f aca="false">IF(E17="","",ROUND(E17/(1+$C$4),0))</f>
        <v>880</v>
      </c>
      <c r="G17" s="20" t="n">
        <v>215</v>
      </c>
      <c r="H17" s="21" t="n">
        <f aca="false">IF(OR(F17="",F17=0,G17=""),"",G17/F17)</f>
        <v>0.244318181818182</v>
      </c>
      <c r="I17" s="22" t="n">
        <f aca="false">IF(OR(F17="",G17=""),"",F17-G17)</f>
        <v>665</v>
      </c>
      <c r="J17" s="23" t="n">
        <v>988</v>
      </c>
      <c r="K17" s="19" t="n">
        <f aca="false">IF(J17="","",ROUND(J17/(1+$D$4),0))</f>
        <v>898</v>
      </c>
      <c r="L17" s="21" t="n">
        <f aca="false">IF(OR(K17="",K17=0,G17=""),"",G17/K17)</f>
        <v>0.239420935412027</v>
      </c>
      <c r="M17" s="22" t="n">
        <f aca="false">IF(OR(K17="",G17=""),"",K17-G17)</f>
        <v>683</v>
      </c>
      <c r="N17" s="24" t="n">
        <f aca="false">J17-E17</f>
        <v>20</v>
      </c>
      <c r="O17" s="25"/>
    </row>
    <row r="18" customFormat="false" ht="14.25" hidden="false" customHeight="false" outlineLevel="0" collapsed="false">
      <c r="A18" s="26" t="n">
        <v>8</v>
      </c>
      <c r="B18" s="27" t="s">
        <v>25</v>
      </c>
      <c r="C18" s="28" t="s">
        <v>26</v>
      </c>
      <c r="D18" s="38" t="s">
        <v>35</v>
      </c>
      <c r="E18" s="30" t="n">
        <v>968</v>
      </c>
      <c r="F18" s="31" t="n">
        <f aca="false">IF(E18="","",ROUND(E18/(1+$C$4),0))</f>
        <v>880</v>
      </c>
      <c r="G18" s="20" t="n">
        <v>296</v>
      </c>
      <c r="H18" s="32" t="n">
        <f aca="false">IF(OR(F18="",F18=0,G18=""),"",G18/F18)</f>
        <v>0.336363636363636</v>
      </c>
      <c r="I18" s="33" t="n">
        <f aca="false">IF(OR(F18="",G18=""),"",F18-G18)</f>
        <v>584</v>
      </c>
      <c r="J18" s="23" t="n">
        <v>988</v>
      </c>
      <c r="K18" s="31" t="n">
        <f aca="false">IF(J18="","",ROUND(J18/(1+$D$4),0))</f>
        <v>898</v>
      </c>
      <c r="L18" s="21" t="n">
        <f aca="false">IF(OR(K18="",K18=0,G18=""),"",G18/K18)</f>
        <v>0.329621380846325</v>
      </c>
      <c r="M18" s="22" t="n">
        <f aca="false">IF(OR(K18="",G18=""),"",K18-G18)</f>
        <v>602</v>
      </c>
      <c r="N18" s="34" t="n">
        <f aca="false">J18-E18</f>
        <v>20</v>
      </c>
      <c r="O18" s="39"/>
    </row>
    <row r="19" customFormat="false" ht="14.25" hidden="false" customHeight="false" outlineLevel="0" collapsed="false">
      <c r="A19" s="14" t="n">
        <v>9</v>
      </c>
      <c r="B19" s="15" t="s">
        <v>25</v>
      </c>
      <c r="C19" s="16" t="s">
        <v>26</v>
      </c>
      <c r="D19" s="29" t="s">
        <v>36</v>
      </c>
      <c r="E19" s="18" t="n">
        <v>583</v>
      </c>
      <c r="F19" s="19" t="n">
        <f aca="false">IF(E19="","",ROUND(E19/(1+$C$4),0))</f>
        <v>530</v>
      </c>
      <c r="G19" s="20" t="n">
        <v>169.7</v>
      </c>
      <c r="H19" s="21" t="n">
        <f aca="false">IF(OR(F19="",F19=0,G19=""),"",G19/F19)</f>
        <v>0.320188679245283</v>
      </c>
      <c r="I19" s="22" t="n">
        <f aca="false">IF(OR(F19="",G19=""),"",F19-G19)</f>
        <v>360.3</v>
      </c>
      <c r="J19" s="23" t="n">
        <v>638</v>
      </c>
      <c r="K19" s="19" t="n">
        <f aca="false">IF(J19="","",ROUND(J19/(1+$D$4),0))</f>
        <v>580</v>
      </c>
      <c r="L19" s="21" t="n">
        <f aca="false">IF(OR(K19="",K19=0,G19=""),"",G19/K19)</f>
        <v>0.292586206896552</v>
      </c>
      <c r="M19" s="22" t="n">
        <f aca="false">IF(OR(K19="",G19=""),"",K19-G19)</f>
        <v>410.3</v>
      </c>
      <c r="N19" s="24" t="n">
        <f aca="false">J19-E19</f>
        <v>55</v>
      </c>
      <c r="O19" s="36" t="s">
        <v>29</v>
      </c>
    </row>
    <row r="20" customFormat="false" ht="14.25" hidden="false" customHeight="false" outlineLevel="0" collapsed="false">
      <c r="A20" s="26" t="n">
        <v>10</v>
      </c>
      <c r="B20" s="27" t="s">
        <v>25</v>
      </c>
      <c r="C20" s="28" t="s">
        <v>37</v>
      </c>
      <c r="D20" s="38" t="s">
        <v>37</v>
      </c>
      <c r="E20" s="30" t="n">
        <v>748</v>
      </c>
      <c r="F20" s="31" t="n">
        <f aca="false">IF(E20="","",ROUND(E20/(1+$C$4),0))</f>
        <v>680</v>
      </c>
      <c r="G20" s="20" t="n">
        <v>53.5</v>
      </c>
      <c r="H20" s="32" t="n">
        <f aca="false">IF(OR(F20="",F20=0,G20=""),"",G20/F20)</f>
        <v>0.0786764705882353</v>
      </c>
      <c r="I20" s="33" t="n">
        <f aca="false">IF(OR(F20="",G20=""),"",F20-G20)</f>
        <v>626.5</v>
      </c>
      <c r="J20" s="23" t="n">
        <v>748</v>
      </c>
      <c r="K20" s="31" t="n">
        <f aca="false">IF(J20="","",ROUND(J20/(1+$D$4),0))</f>
        <v>680</v>
      </c>
      <c r="L20" s="21" t="n">
        <f aca="false">IF(OR(K20="",K20=0,G20=""),"",G20/K20)</f>
        <v>0.0786764705882353</v>
      </c>
      <c r="M20" s="22" t="n">
        <f aca="false">IF(OR(K20="",G20=""),"",K20-G20)</f>
        <v>626.5</v>
      </c>
      <c r="N20" s="34" t="n">
        <f aca="false">J20-E20</f>
        <v>0</v>
      </c>
      <c r="O20" s="40" t="s">
        <v>38</v>
      </c>
    </row>
    <row r="21" customFormat="false" ht="14.25" hidden="false" customHeight="false" outlineLevel="0" collapsed="false">
      <c r="A21" s="14" t="n">
        <v>11</v>
      </c>
      <c r="B21" s="15" t="s">
        <v>25</v>
      </c>
      <c r="C21" s="16" t="s">
        <v>37</v>
      </c>
      <c r="D21" s="17" t="s">
        <v>39</v>
      </c>
      <c r="E21" s="18" t="n">
        <v>748</v>
      </c>
      <c r="F21" s="19" t="n">
        <f aca="false">IF(E21="","",ROUND(E21/(1+$C$4),0))</f>
        <v>680</v>
      </c>
      <c r="G21" s="20" t="n">
        <v>172</v>
      </c>
      <c r="H21" s="21" t="n">
        <f aca="false">IF(OR(F21="",F21=0,G21=""),"",G21/F21)</f>
        <v>0.252941176470588</v>
      </c>
      <c r="I21" s="22" t="n">
        <f aca="false">IF(OR(F21="",G21=""),"",F21-G21)</f>
        <v>508</v>
      </c>
      <c r="J21" s="23" t="n">
        <v>748</v>
      </c>
      <c r="K21" s="19" t="n">
        <f aca="false">IF(J21="","",ROUND(J21/(1+$D$4),0))</f>
        <v>680</v>
      </c>
      <c r="L21" s="21" t="n">
        <f aca="false">IF(OR(K21="",K21=0,G21=""),"",G21/K21)</f>
        <v>0.252941176470588</v>
      </c>
      <c r="M21" s="22" t="n">
        <f aca="false">IF(OR(K21="",G21=""),"",K21-G21)</f>
        <v>508</v>
      </c>
      <c r="N21" s="24" t="n">
        <f aca="false">J21-E21</f>
        <v>0</v>
      </c>
      <c r="O21" s="41" t="s">
        <v>40</v>
      </c>
    </row>
    <row r="22" customFormat="false" ht="14.25" hidden="false" customHeight="false" outlineLevel="0" collapsed="false">
      <c r="A22" s="26" t="n">
        <v>12</v>
      </c>
      <c r="B22" s="27" t="s">
        <v>25</v>
      </c>
      <c r="C22" s="28" t="s">
        <v>37</v>
      </c>
      <c r="D22" s="38" t="s">
        <v>41</v>
      </c>
      <c r="E22" s="30" t="n">
        <v>748</v>
      </c>
      <c r="F22" s="31" t="n">
        <f aca="false">IF(E22="","",ROUND(E22/(1+$C$4),0))</f>
        <v>680</v>
      </c>
      <c r="G22" s="20" t="n">
        <v>226.2</v>
      </c>
      <c r="H22" s="32" t="n">
        <f aca="false">IF(OR(F22="",F22=0,G22=""),"",G22/F22)</f>
        <v>0.332647058823529</v>
      </c>
      <c r="I22" s="33" t="n">
        <f aca="false">IF(OR(F22="",G22=""),"",F22-G22)</f>
        <v>453.8</v>
      </c>
      <c r="J22" s="23" t="n">
        <v>748</v>
      </c>
      <c r="K22" s="31" t="n">
        <f aca="false">IF(J22="","",ROUND(J22/(1+$D$4),0))</f>
        <v>680</v>
      </c>
      <c r="L22" s="21" t="n">
        <f aca="false">IF(OR(K22="",K22=0,G22=""),"",G22/K22)</f>
        <v>0.332647058823529</v>
      </c>
      <c r="M22" s="22" t="n">
        <f aca="false">IF(OR(K22="",G22=""),"",K22-G22)</f>
        <v>453.8</v>
      </c>
      <c r="N22" s="34" t="n">
        <f aca="false">J22-E22</f>
        <v>0</v>
      </c>
      <c r="O22" s="40" t="s">
        <v>40</v>
      </c>
    </row>
    <row r="23" customFormat="false" ht="14.25" hidden="false" customHeight="false" outlineLevel="0" collapsed="false">
      <c r="A23" s="14" t="n">
        <v>13</v>
      </c>
      <c r="B23" s="15" t="s">
        <v>25</v>
      </c>
      <c r="C23" s="16" t="s">
        <v>37</v>
      </c>
      <c r="D23" s="17" t="s">
        <v>42</v>
      </c>
      <c r="E23" s="18" t="n">
        <v>748</v>
      </c>
      <c r="F23" s="19" t="n">
        <f aca="false">IF(E23="","",ROUND(E23/(1+$C$4),0))</f>
        <v>680</v>
      </c>
      <c r="G23" s="20" t="n">
        <v>149.1</v>
      </c>
      <c r="H23" s="21" t="n">
        <f aca="false">IF(OR(F23="",F23=0,G23=""),"",G23/F23)</f>
        <v>0.219264705882353</v>
      </c>
      <c r="I23" s="22" t="n">
        <f aca="false">IF(OR(F23="",G23=""),"",F23-G23)</f>
        <v>530.9</v>
      </c>
      <c r="J23" s="23" t="n">
        <v>748</v>
      </c>
      <c r="K23" s="19" t="n">
        <f aca="false">IF(J23="","",ROUND(J23/(1+$D$4),0))</f>
        <v>680</v>
      </c>
      <c r="L23" s="21" t="n">
        <f aca="false">IF(OR(K23="",K23=0,G23=""),"",G23/K23)</f>
        <v>0.219264705882353</v>
      </c>
      <c r="M23" s="22" t="n">
        <f aca="false">IF(OR(K23="",G23=""),"",K23-G23)</f>
        <v>530.9</v>
      </c>
      <c r="N23" s="24" t="n">
        <f aca="false">J23-E23</f>
        <v>0</v>
      </c>
      <c r="O23" s="41" t="s">
        <v>40</v>
      </c>
    </row>
    <row r="24" customFormat="false" ht="14.25" hidden="false" customHeight="false" outlineLevel="0" collapsed="false">
      <c r="A24" s="26" t="n">
        <v>14</v>
      </c>
      <c r="B24" s="27" t="s">
        <v>25</v>
      </c>
      <c r="C24" s="28" t="s">
        <v>37</v>
      </c>
      <c r="D24" s="38" t="s">
        <v>43</v>
      </c>
      <c r="E24" s="30" t="n">
        <v>748</v>
      </c>
      <c r="F24" s="31" t="n">
        <f aca="false">IF(E24="","",ROUND(E24/(1+$C$4),0))</f>
        <v>680</v>
      </c>
      <c r="G24" s="20" t="n">
        <v>124.1</v>
      </c>
      <c r="H24" s="32" t="n">
        <f aca="false">IF(OR(F24="",F24=0,G24=""),"",G24/F24)</f>
        <v>0.1825</v>
      </c>
      <c r="I24" s="33" t="n">
        <f aca="false">IF(OR(F24="",G24=""),"",F24-G24)</f>
        <v>555.9</v>
      </c>
      <c r="J24" s="23" t="n">
        <v>748</v>
      </c>
      <c r="K24" s="31" t="n">
        <f aca="false">IF(J24="","",ROUND(J24/(1+$D$4),0))</f>
        <v>680</v>
      </c>
      <c r="L24" s="21" t="n">
        <f aca="false">IF(OR(K24="",K24=0,G24=""),"",G24/K24)</f>
        <v>0.1825</v>
      </c>
      <c r="M24" s="22" t="n">
        <f aca="false">IF(OR(K24="",G24=""),"",K24-G24)</f>
        <v>555.9</v>
      </c>
      <c r="N24" s="34" t="n">
        <f aca="false">J24-E24</f>
        <v>0</v>
      </c>
      <c r="O24" s="40" t="s">
        <v>40</v>
      </c>
    </row>
    <row r="25" customFormat="false" ht="14.25" hidden="false" customHeight="false" outlineLevel="0" collapsed="false">
      <c r="A25" s="14" t="n">
        <v>15</v>
      </c>
      <c r="B25" s="15" t="s">
        <v>25</v>
      </c>
      <c r="C25" s="16" t="s">
        <v>44</v>
      </c>
      <c r="D25" s="17" t="s">
        <v>45</v>
      </c>
      <c r="E25" s="18" t="n">
        <v>638</v>
      </c>
      <c r="F25" s="19" t="n">
        <f aca="false">IF(E25="","",ROUND(E25/(1+$C$4),0))</f>
        <v>580</v>
      </c>
      <c r="G25" s="20" t="n">
        <v>133.6</v>
      </c>
      <c r="H25" s="21" t="n">
        <f aca="false">IF(OR(F25="",F25=0,G25=""),"",G25/F25)</f>
        <v>0.230344827586207</v>
      </c>
      <c r="I25" s="22" t="n">
        <f aca="false">IF(OR(F25="",G25=""),"",F25-G25)</f>
        <v>446.4</v>
      </c>
      <c r="J25" s="23" t="n">
        <v>638</v>
      </c>
      <c r="K25" s="19" t="n">
        <f aca="false">IF(J25="","",ROUND(J25/(1+$D$4),0))</f>
        <v>580</v>
      </c>
      <c r="L25" s="21" t="n">
        <f aca="false">IF(OR(K25="",K25=0,G25=""),"",G25/K25)</f>
        <v>0.230344827586207</v>
      </c>
      <c r="M25" s="22" t="n">
        <f aca="false">IF(OR(K25="",G25=""),"",K25-G25)</f>
        <v>446.4</v>
      </c>
      <c r="N25" s="24" t="n">
        <f aca="false">J25-E25</f>
        <v>0</v>
      </c>
      <c r="O25" s="25"/>
    </row>
    <row r="26" customFormat="false" ht="14.25" hidden="false" customHeight="false" outlineLevel="0" collapsed="false">
      <c r="A26" s="26" t="n">
        <v>16</v>
      </c>
      <c r="B26" s="27" t="s">
        <v>25</v>
      </c>
      <c r="C26" s="28" t="s">
        <v>44</v>
      </c>
      <c r="D26" s="29" t="s">
        <v>46</v>
      </c>
      <c r="E26" s="30" t="n">
        <v>638</v>
      </c>
      <c r="F26" s="31" t="n">
        <f aca="false">IF(E26="","",ROUND(E26/(1+$C$4),0))</f>
        <v>580</v>
      </c>
      <c r="G26" s="20" t="n">
        <v>121.1</v>
      </c>
      <c r="H26" s="32" t="n">
        <f aca="false">IF(OR(F26="",F26=0,G26=""),"",G26/F26)</f>
        <v>0.208793103448276</v>
      </c>
      <c r="I26" s="33" t="n">
        <f aca="false">IF(OR(F26="",G26=""),"",F26-G26)</f>
        <v>458.9</v>
      </c>
      <c r="J26" s="23" t="n">
        <v>638</v>
      </c>
      <c r="K26" s="31" t="n">
        <f aca="false">IF(J26="","",ROUND(J26/(1+$D$4),0))</f>
        <v>580</v>
      </c>
      <c r="L26" s="21" t="n">
        <f aca="false">IF(OR(K26="",K26=0,G26=""),"",G26/K26)</f>
        <v>0.208793103448276</v>
      </c>
      <c r="M26" s="22" t="n">
        <f aca="false">IF(OR(K26="",G26=""),"",K26-G26)</f>
        <v>458.9</v>
      </c>
      <c r="N26" s="34" t="n">
        <f aca="false">J26-E26</f>
        <v>0</v>
      </c>
      <c r="O26" s="35" t="s">
        <v>29</v>
      </c>
    </row>
    <row r="27" customFormat="false" ht="14.25" hidden="false" customHeight="false" outlineLevel="0" collapsed="false">
      <c r="A27" s="14" t="n">
        <v>17</v>
      </c>
      <c r="B27" s="15" t="s">
        <v>25</v>
      </c>
      <c r="C27" s="16" t="s">
        <v>44</v>
      </c>
      <c r="D27" s="17" t="s">
        <v>47</v>
      </c>
      <c r="E27" s="18" t="n">
        <v>638</v>
      </c>
      <c r="F27" s="19" t="n">
        <f aca="false">IF(E27="","",ROUND(E27/(1+$C$4),0))</f>
        <v>580</v>
      </c>
      <c r="G27" s="20" t="n">
        <v>89.3</v>
      </c>
      <c r="H27" s="21" t="n">
        <f aca="false">IF(OR(F27="",F27=0,G27=""),"",G27/F27)</f>
        <v>0.153965517241379</v>
      </c>
      <c r="I27" s="22" t="n">
        <f aca="false">IF(OR(F27="",G27=""),"",F27-G27)</f>
        <v>490.7</v>
      </c>
      <c r="J27" s="23" t="n">
        <v>638</v>
      </c>
      <c r="K27" s="19" t="n">
        <f aca="false">IF(J27="","",ROUND(J27/(1+$D$4),0))</f>
        <v>580</v>
      </c>
      <c r="L27" s="21" t="n">
        <f aca="false">IF(OR(K27="",K27=0,G27=""),"",G27/K27)</f>
        <v>0.153965517241379</v>
      </c>
      <c r="M27" s="22" t="n">
        <f aca="false">IF(OR(K27="",G27=""),"",K27-G27)</f>
        <v>490.7</v>
      </c>
      <c r="N27" s="24" t="n">
        <f aca="false">J27-E27</f>
        <v>0</v>
      </c>
      <c r="O27" s="25"/>
    </row>
    <row r="28" customFormat="false" ht="14.25" hidden="false" customHeight="false" outlineLevel="0" collapsed="false">
      <c r="A28" s="26" t="n">
        <v>18</v>
      </c>
      <c r="B28" s="27" t="s">
        <v>25</v>
      </c>
      <c r="C28" s="28" t="s">
        <v>44</v>
      </c>
      <c r="D28" s="29" t="s">
        <v>48</v>
      </c>
      <c r="E28" s="30" t="n">
        <v>638</v>
      </c>
      <c r="F28" s="31" t="n">
        <f aca="false">IF(E28="","",ROUND(E28/(1+$C$4),0))</f>
        <v>580</v>
      </c>
      <c r="G28" s="20" t="n">
        <v>55.3</v>
      </c>
      <c r="H28" s="32" t="n">
        <f aca="false">IF(OR(F28="",F28=0,G28=""),"",G28/F28)</f>
        <v>0.0953448275862069</v>
      </c>
      <c r="I28" s="33" t="n">
        <f aca="false">IF(OR(F28="",G28=""),"",F28-G28)</f>
        <v>524.7</v>
      </c>
      <c r="J28" s="23" t="n">
        <v>638</v>
      </c>
      <c r="K28" s="31" t="n">
        <f aca="false">IF(J28="","",ROUND(J28/(1+$D$4),0))</f>
        <v>580</v>
      </c>
      <c r="L28" s="21" t="n">
        <f aca="false">IF(OR(K28="",K28=0,G28=""),"",G28/K28)</f>
        <v>0.0953448275862069</v>
      </c>
      <c r="M28" s="22" t="n">
        <f aca="false">IF(OR(K28="",G28=""),"",K28-G28)</f>
        <v>524.7</v>
      </c>
      <c r="N28" s="34" t="n">
        <f aca="false">J28-E28</f>
        <v>0</v>
      </c>
      <c r="O28" s="35" t="s">
        <v>29</v>
      </c>
    </row>
    <row r="29" customFormat="false" ht="14.25" hidden="false" customHeight="false" outlineLevel="0" collapsed="false">
      <c r="A29" s="14" t="n">
        <v>19</v>
      </c>
      <c r="B29" s="15" t="s">
        <v>25</v>
      </c>
      <c r="C29" s="16" t="s">
        <v>44</v>
      </c>
      <c r="D29" s="17" t="s">
        <v>49</v>
      </c>
      <c r="E29" s="18" t="n">
        <v>638</v>
      </c>
      <c r="F29" s="19" t="n">
        <f aca="false">IF(E29="","",ROUND(E29/(1+$C$4),0))</f>
        <v>580</v>
      </c>
      <c r="G29" s="20" t="n">
        <v>76.4288496788497</v>
      </c>
      <c r="H29" s="21" t="n">
        <f aca="false">IF(OR(F29="",F29=0,G29=""),"",G29/F29)</f>
        <v>0.131773878756637</v>
      </c>
      <c r="I29" s="22" t="n">
        <f aca="false">IF(OR(F29="",G29=""),"",F29-G29)</f>
        <v>503.57115032115</v>
      </c>
      <c r="J29" s="23" t="n">
        <v>638</v>
      </c>
      <c r="K29" s="19" t="n">
        <f aca="false">IF(J29="","",ROUND(J29/(1+$D$4),0))</f>
        <v>580</v>
      </c>
      <c r="L29" s="21" t="n">
        <f aca="false">IF(OR(K29="",K29=0,G29=""),"",G29/K29)</f>
        <v>0.131773878756637</v>
      </c>
      <c r="M29" s="22" t="n">
        <f aca="false">IF(OR(K29="",G29=""),"",K29-G29)</f>
        <v>503.57115032115</v>
      </c>
      <c r="N29" s="24" t="n">
        <f aca="false">J29-E29</f>
        <v>0</v>
      </c>
      <c r="O29" s="25"/>
    </row>
    <row r="30" customFormat="false" ht="14.25" hidden="false" customHeight="false" outlineLevel="0" collapsed="false">
      <c r="A30" s="26" t="n">
        <v>20</v>
      </c>
      <c r="B30" s="27" t="s">
        <v>25</v>
      </c>
      <c r="C30" s="28" t="s">
        <v>44</v>
      </c>
      <c r="D30" s="38" t="s">
        <v>50</v>
      </c>
      <c r="E30" s="30" t="n">
        <v>638</v>
      </c>
      <c r="F30" s="31" t="n">
        <f aca="false">IF(E30="","",ROUND(E30/(1+$C$4),0))</f>
        <v>580</v>
      </c>
      <c r="G30" s="20" t="n">
        <v>80.4</v>
      </c>
      <c r="H30" s="32" t="n">
        <f aca="false">IF(OR(F30="",F30=0,G30=""),"",G30/F30)</f>
        <v>0.138620689655172</v>
      </c>
      <c r="I30" s="33" t="n">
        <f aca="false">IF(OR(F30="",G30=""),"",F30-G30)</f>
        <v>499.6</v>
      </c>
      <c r="J30" s="23" t="n">
        <v>638</v>
      </c>
      <c r="K30" s="31" t="n">
        <f aca="false">IF(J30="","",ROUND(J30/(1+$D$4),0))</f>
        <v>580</v>
      </c>
      <c r="L30" s="21" t="n">
        <f aca="false">IF(OR(K30="",K30=0,G30=""),"",G30/K30)</f>
        <v>0.138620689655172</v>
      </c>
      <c r="M30" s="22" t="n">
        <f aca="false">IF(OR(K30="",G30=""),"",K30-G30)</f>
        <v>499.6</v>
      </c>
      <c r="N30" s="34" t="n">
        <f aca="false">J30-E30</f>
        <v>0</v>
      </c>
      <c r="O30" s="39"/>
    </row>
    <row r="31" customFormat="false" ht="14.25" hidden="false" customHeight="false" outlineLevel="0" collapsed="false">
      <c r="A31" s="14" t="n">
        <v>21</v>
      </c>
      <c r="B31" s="15" t="s">
        <v>25</v>
      </c>
      <c r="C31" s="16" t="s">
        <v>44</v>
      </c>
      <c r="D31" s="29" t="s">
        <v>51</v>
      </c>
      <c r="E31" s="18" t="n">
        <v>638</v>
      </c>
      <c r="F31" s="19" t="n">
        <f aca="false">IF(E31="","",ROUND(E31/(1+$C$4),0))</f>
        <v>580</v>
      </c>
      <c r="G31" s="20" t="n">
        <v>81.8</v>
      </c>
      <c r="H31" s="21" t="n">
        <f aca="false">IF(OR(F31="",F31=0,G31=""),"",G31/F31)</f>
        <v>0.141034482758621</v>
      </c>
      <c r="I31" s="22" t="n">
        <f aca="false">IF(OR(F31="",G31=""),"",F31-G31)</f>
        <v>498.2</v>
      </c>
      <c r="J31" s="23" t="n">
        <v>638</v>
      </c>
      <c r="K31" s="19" t="n">
        <f aca="false">IF(J31="","",ROUND(J31/(1+$D$4),0))</f>
        <v>580</v>
      </c>
      <c r="L31" s="21" t="n">
        <f aca="false">IF(OR(K31="",K31=0,G31=""),"",G31/K31)</f>
        <v>0.141034482758621</v>
      </c>
      <c r="M31" s="22" t="n">
        <f aca="false">IF(OR(K31="",G31=""),"",K31-G31)</f>
        <v>498.2</v>
      </c>
      <c r="N31" s="24" t="n">
        <f aca="false">J31-E31</f>
        <v>0</v>
      </c>
      <c r="O31" s="36" t="s">
        <v>29</v>
      </c>
    </row>
    <row r="32" customFormat="false" ht="14.25" hidden="false" customHeight="false" outlineLevel="0" collapsed="false">
      <c r="A32" s="26" t="n">
        <v>22</v>
      </c>
      <c r="B32" s="27" t="s">
        <v>25</v>
      </c>
      <c r="C32" s="28" t="s">
        <v>44</v>
      </c>
      <c r="D32" s="29" t="s">
        <v>52</v>
      </c>
      <c r="E32" s="30" t="n">
        <v>638</v>
      </c>
      <c r="F32" s="31" t="n">
        <f aca="false">IF(E32="","",ROUND(E32/(1+$C$4),0))</f>
        <v>580</v>
      </c>
      <c r="G32" s="20" t="n">
        <v>81.8</v>
      </c>
      <c r="H32" s="32" t="n">
        <f aca="false">IF(OR(F32="",F32=0,G32=""),"",G32/F32)</f>
        <v>0.141034482758621</v>
      </c>
      <c r="I32" s="33" t="n">
        <f aca="false">IF(OR(F32="",G32=""),"",F32-G32)</f>
        <v>498.2</v>
      </c>
      <c r="J32" s="23" t="n">
        <v>638</v>
      </c>
      <c r="K32" s="31" t="n">
        <f aca="false">IF(J32="","",ROUND(J32/(1+$D$4),0))</f>
        <v>580</v>
      </c>
      <c r="L32" s="21" t="n">
        <f aca="false">IF(OR(K32="",K32=0,G32=""),"",G32/K32)</f>
        <v>0.141034482758621</v>
      </c>
      <c r="M32" s="22" t="n">
        <f aca="false">IF(OR(K32="",G32=""),"",K32-G32)</f>
        <v>498.2</v>
      </c>
      <c r="N32" s="34" t="n">
        <f aca="false">J32-E32</f>
        <v>0</v>
      </c>
      <c r="O32" s="35" t="s">
        <v>29</v>
      </c>
    </row>
    <row r="33" customFormat="false" ht="14.25" hidden="false" customHeight="false" outlineLevel="0" collapsed="false">
      <c r="A33" s="14" t="n">
        <v>23</v>
      </c>
      <c r="B33" s="15" t="s">
        <v>25</v>
      </c>
      <c r="C33" s="16" t="s">
        <v>44</v>
      </c>
      <c r="D33" s="29" t="s">
        <v>53</v>
      </c>
      <c r="E33" s="18" t="n">
        <v>638</v>
      </c>
      <c r="F33" s="19" t="n">
        <f aca="false">IF(E33="","",ROUND(E33/(1+$C$4),0))</f>
        <v>580</v>
      </c>
      <c r="G33" s="20" t="n">
        <v>80.4</v>
      </c>
      <c r="H33" s="21" t="n">
        <f aca="false">IF(OR(F33="",F33=0,G33=""),"",G33/F33)</f>
        <v>0.138620689655172</v>
      </c>
      <c r="I33" s="22" t="n">
        <f aca="false">IF(OR(F33="",G33=""),"",F33-G33)</f>
        <v>499.6</v>
      </c>
      <c r="J33" s="23" t="n">
        <v>638</v>
      </c>
      <c r="K33" s="19" t="n">
        <f aca="false">IF(J33="","",ROUND(J33/(1+$D$4),0))</f>
        <v>580</v>
      </c>
      <c r="L33" s="21" t="n">
        <f aca="false">IF(OR(K33="",K33=0,G33=""),"",G33/K33)</f>
        <v>0.138620689655172</v>
      </c>
      <c r="M33" s="22" t="n">
        <f aca="false">IF(OR(K33="",G33=""),"",K33-G33)</f>
        <v>499.6</v>
      </c>
      <c r="N33" s="24" t="n">
        <f aca="false">J33-E33</f>
        <v>0</v>
      </c>
      <c r="O33" s="36" t="s">
        <v>29</v>
      </c>
    </row>
    <row r="34" customFormat="false" ht="14.25" hidden="false" customHeight="false" outlineLevel="0" collapsed="false">
      <c r="A34" s="26" t="n">
        <v>24</v>
      </c>
      <c r="B34" s="27" t="s">
        <v>25</v>
      </c>
      <c r="C34" s="28" t="s">
        <v>54</v>
      </c>
      <c r="D34" s="38" t="s">
        <v>55</v>
      </c>
      <c r="E34" s="30" t="n">
        <v>638</v>
      </c>
      <c r="F34" s="31" t="n">
        <f aca="false">IF(E34="","",ROUND(E34/(1+$C$4),0))</f>
        <v>580</v>
      </c>
      <c r="G34" s="20" t="n">
        <v>243.6</v>
      </c>
      <c r="H34" s="32" t="n">
        <f aca="false">IF(OR(F34="",F34=0,G34=""),"",G34/F34)</f>
        <v>0.42</v>
      </c>
      <c r="I34" s="33" t="n">
        <f aca="false">IF(OR(F34="",G34=""),"",F34-G34)</f>
        <v>336.4</v>
      </c>
      <c r="J34" s="23" t="n">
        <v>638</v>
      </c>
      <c r="K34" s="31" t="n">
        <f aca="false">IF(J34="","",ROUND(J34/(1+$D$4),0))</f>
        <v>580</v>
      </c>
      <c r="L34" s="21" t="n">
        <f aca="false">IF(OR(K34="",K34=0,G34=""),"",G34/K34)</f>
        <v>0.42</v>
      </c>
      <c r="M34" s="22" t="n">
        <f aca="false">IF(OR(K34="",G34=""),"",K34-G34)</f>
        <v>336.4</v>
      </c>
      <c r="N34" s="34" t="n">
        <f aca="false">J34-E34</f>
        <v>0</v>
      </c>
      <c r="O34" s="39"/>
    </row>
    <row r="35" customFormat="false" ht="14.25" hidden="false" customHeight="false" outlineLevel="0" collapsed="false">
      <c r="A35" s="14" t="n">
        <v>25</v>
      </c>
      <c r="B35" s="15" t="s">
        <v>25</v>
      </c>
      <c r="C35" s="16" t="s">
        <v>54</v>
      </c>
      <c r="D35" s="17" t="s">
        <v>56</v>
      </c>
      <c r="E35" s="18" t="n">
        <v>638</v>
      </c>
      <c r="F35" s="19" t="n">
        <f aca="false">IF(E35="","",ROUND(E35/(1+$C$4),0))</f>
        <v>580</v>
      </c>
      <c r="G35" s="20" t="n">
        <v>91</v>
      </c>
      <c r="H35" s="21" t="n">
        <f aca="false">IF(OR(F35="",F35=0,G35=""),"",G35/F35)</f>
        <v>0.156896551724138</v>
      </c>
      <c r="I35" s="22" t="n">
        <f aca="false">IF(OR(F35="",G35=""),"",F35-G35)</f>
        <v>489</v>
      </c>
      <c r="J35" s="23" t="n">
        <v>658</v>
      </c>
      <c r="K35" s="19" t="n">
        <f aca="false">IF(J35="","",ROUND(J35/(1+$D$4),0))</f>
        <v>598</v>
      </c>
      <c r="L35" s="21" t="n">
        <f aca="false">IF(OR(K35="",K35=0,G35=""),"",G35/K35)</f>
        <v>0.152173913043478</v>
      </c>
      <c r="M35" s="22" t="n">
        <f aca="false">IF(OR(K35="",G35=""),"",K35-G35)</f>
        <v>507</v>
      </c>
      <c r="N35" s="24" t="n">
        <f aca="false">J35-E35</f>
        <v>20</v>
      </c>
      <c r="O35" s="25"/>
    </row>
    <row r="36" customFormat="false" ht="14.25" hidden="false" customHeight="false" outlineLevel="0" collapsed="false">
      <c r="A36" s="26" t="n">
        <v>26</v>
      </c>
      <c r="B36" s="27" t="s">
        <v>25</v>
      </c>
      <c r="C36" s="28" t="s">
        <v>54</v>
      </c>
      <c r="D36" s="38" t="s">
        <v>57</v>
      </c>
      <c r="E36" s="30" t="n">
        <v>638</v>
      </c>
      <c r="F36" s="31" t="n">
        <f aca="false">IF(E36="","",ROUND(E36/(1+$C$4),0))</f>
        <v>580</v>
      </c>
      <c r="G36" s="20" t="n">
        <v>139.1</v>
      </c>
      <c r="H36" s="32" t="n">
        <f aca="false">IF(OR(F36="",F36=0,G36=""),"",G36/F36)</f>
        <v>0.239827586206897</v>
      </c>
      <c r="I36" s="33" t="n">
        <f aca="false">IF(OR(F36="",G36=""),"",F36-G36)</f>
        <v>440.9</v>
      </c>
      <c r="J36" s="23" t="n">
        <v>658</v>
      </c>
      <c r="K36" s="31" t="n">
        <f aca="false">IF(J36="","",ROUND(J36/(1+$D$4),0))</f>
        <v>598</v>
      </c>
      <c r="L36" s="21" t="n">
        <f aca="false">IF(OR(K36="",K36=0,G36=""),"",G36/K36)</f>
        <v>0.232608695652174</v>
      </c>
      <c r="M36" s="22" t="n">
        <f aca="false">IF(OR(K36="",G36=""),"",K36-G36)</f>
        <v>458.9</v>
      </c>
      <c r="N36" s="34" t="n">
        <f aca="false">J36-E36</f>
        <v>20</v>
      </c>
      <c r="O36" s="39"/>
    </row>
    <row r="37" customFormat="false" ht="14.25" hidden="false" customHeight="false" outlineLevel="0" collapsed="false">
      <c r="A37" s="14" t="n">
        <v>27</v>
      </c>
      <c r="B37" s="15" t="s">
        <v>25</v>
      </c>
      <c r="C37" s="16" t="s">
        <v>54</v>
      </c>
      <c r="D37" s="17" t="s">
        <v>58</v>
      </c>
      <c r="E37" s="18" t="n">
        <v>638</v>
      </c>
      <c r="F37" s="19" t="n">
        <f aca="false">IF(E37="","",ROUND(E37/(1+$C$4),0))</f>
        <v>580</v>
      </c>
      <c r="G37" s="20" t="n">
        <v>116.2</v>
      </c>
      <c r="H37" s="21" t="n">
        <f aca="false">IF(OR(F37="",F37=0,G37=""),"",G37/F37)</f>
        <v>0.200344827586207</v>
      </c>
      <c r="I37" s="22" t="n">
        <f aca="false">IF(OR(F37="",G37=""),"",F37-G37)</f>
        <v>463.8</v>
      </c>
      <c r="J37" s="23" t="n">
        <v>658</v>
      </c>
      <c r="K37" s="19" t="n">
        <f aca="false">IF(J37="","",ROUND(J37/(1+$D$4),0))</f>
        <v>598</v>
      </c>
      <c r="L37" s="21" t="n">
        <f aca="false">IF(OR(K37="",K37=0,G37=""),"",G37/K37)</f>
        <v>0.194314381270903</v>
      </c>
      <c r="M37" s="22" t="n">
        <f aca="false">IF(OR(K37="",G37=""),"",K37-G37)</f>
        <v>481.8</v>
      </c>
      <c r="N37" s="24" t="n">
        <f aca="false">J37-E37</f>
        <v>20</v>
      </c>
      <c r="O37" s="25"/>
    </row>
    <row r="38" customFormat="false" ht="14.25" hidden="false" customHeight="false" outlineLevel="0" collapsed="false">
      <c r="A38" s="26" t="n">
        <v>28</v>
      </c>
      <c r="B38" s="27" t="s">
        <v>25</v>
      </c>
      <c r="C38" s="28" t="s">
        <v>54</v>
      </c>
      <c r="D38" s="38" t="s">
        <v>59</v>
      </c>
      <c r="E38" s="30" t="n">
        <v>638</v>
      </c>
      <c r="F38" s="31" t="n">
        <f aca="false">IF(E38="","",ROUND(E38/(1+$C$4),0))</f>
        <v>580</v>
      </c>
      <c r="G38" s="20" t="n">
        <v>49.5796433296433</v>
      </c>
      <c r="H38" s="32" t="n">
        <f aca="false">IF(OR(F38="",F38=0,G38=""),"",G38/F38)</f>
        <v>0.0854821436717988</v>
      </c>
      <c r="I38" s="33" t="n">
        <f aca="false">IF(OR(F38="",G38=""),"",F38-G38)</f>
        <v>530.420356670357</v>
      </c>
      <c r="J38" s="23" t="n">
        <v>658</v>
      </c>
      <c r="K38" s="31" t="n">
        <f aca="false">IF(J38="","",ROUND(J38/(1+$D$4),0))</f>
        <v>598</v>
      </c>
      <c r="L38" s="21" t="n">
        <f aca="false">IF(OR(K38="",K38=0,G38=""),"",G38/K38)</f>
        <v>0.0829091025579319</v>
      </c>
      <c r="M38" s="22" t="n">
        <f aca="false">IF(OR(K38="",G38=""),"",K38-G38)</f>
        <v>548.420356670357</v>
      </c>
      <c r="N38" s="34" t="n">
        <f aca="false">J38-E38</f>
        <v>20</v>
      </c>
      <c r="O38" s="39"/>
    </row>
    <row r="39" customFormat="false" ht="14.25" hidden="false" customHeight="false" outlineLevel="0" collapsed="false">
      <c r="A39" s="14" t="n">
        <v>29</v>
      </c>
      <c r="B39" s="15" t="s">
        <v>25</v>
      </c>
      <c r="C39" s="16" t="s">
        <v>54</v>
      </c>
      <c r="D39" s="17" t="s">
        <v>60</v>
      </c>
      <c r="E39" s="18" t="n">
        <v>638</v>
      </c>
      <c r="F39" s="19" t="n">
        <f aca="false">IF(E39="","",ROUND(E39/(1+$C$4),0))</f>
        <v>580</v>
      </c>
      <c r="G39" s="20" t="n">
        <v>49.5796433296433</v>
      </c>
      <c r="H39" s="21" t="n">
        <f aca="false">IF(OR(F39="",F39=0,G39=""),"",G39/F39)</f>
        <v>0.0854821436717988</v>
      </c>
      <c r="I39" s="22" t="n">
        <f aca="false">IF(OR(F39="",G39=""),"",F39-G39)</f>
        <v>530.420356670357</v>
      </c>
      <c r="J39" s="23" t="n">
        <v>658</v>
      </c>
      <c r="K39" s="19" t="n">
        <f aca="false">IF(J39="","",ROUND(J39/(1+$D$4),0))</f>
        <v>598</v>
      </c>
      <c r="L39" s="21" t="n">
        <f aca="false">IF(OR(K39="",K39=0,G39=""),"",G39/K39)</f>
        <v>0.0829091025579319</v>
      </c>
      <c r="M39" s="22" t="n">
        <f aca="false">IF(OR(K39="",G39=""),"",K39-G39)</f>
        <v>548.420356670357</v>
      </c>
      <c r="N39" s="24" t="n">
        <f aca="false">J39-E39</f>
        <v>20</v>
      </c>
      <c r="O39" s="25"/>
    </row>
    <row r="40" customFormat="false" ht="14.25" hidden="false" customHeight="false" outlineLevel="0" collapsed="false">
      <c r="A40" s="26" t="n">
        <v>30</v>
      </c>
      <c r="B40" s="27" t="s">
        <v>25</v>
      </c>
      <c r="C40" s="28" t="s">
        <v>54</v>
      </c>
      <c r="D40" s="38" t="s">
        <v>61</v>
      </c>
      <c r="E40" s="30" t="n">
        <v>638</v>
      </c>
      <c r="F40" s="31" t="n">
        <f aca="false">IF(E40="","",ROUND(E40/(1+$C$4),0))</f>
        <v>580</v>
      </c>
      <c r="G40" s="20" t="n">
        <v>78.8</v>
      </c>
      <c r="H40" s="32" t="n">
        <f aca="false">IF(OR(F40="",F40=0,G40=""),"",G40/F40)</f>
        <v>0.135862068965517</v>
      </c>
      <c r="I40" s="33" t="n">
        <f aca="false">IF(OR(F40="",G40=""),"",F40-G40)</f>
        <v>501.2</v>
      </c>
      <c r="J40" s="23" t="n">
        <v>658</v>
      </c>
      <c r="K40" s="31" t="n">
        <f aca="false">IF(J40="","",ROUND(J40/(1+$D$4),0))</f>
        <v>598</v>
      </c>
      <c r="L40" s="21" t="n">
        <f aca="false">IF(OR(K40="",K40=0,G40=""),"",G40/K40)</f>
        <v>0.131772575250836</v>
      </c>
      <c r="M40" s="22" t="n">
        <f aca="false">IF(OR(K40="",G40=""),"",K40-G40)</f>
        <v>519.2</v>
      </c>
      <c r="N40" s="34" t="n">
        <f aca="false">J40-E40</f>
        <v>20</v>
      </c>
      <c r="O40" s="40" t="s">
        <v>62</v>
      </c>
    </row>
    <row r="41" customFormat="false" ht="14.25" hidden="false" customHeight="false" outlineLevel="0" collapsed="false">
      <c r="A41" s="14" t="n">
        <v>31</v>
      </c>
      <c r="B41" s="15" t="s">
        <v>25</v>
      </c>
      <c r="C41" s="16" t="s">
        <v>54</v>
      </c>
      <c r="D41" s="17" t="s">
        <v>63</v>
      </c>
      <c r="E41" s="18" t="n">
        <v>638</v>
      </c>
      <c r="F41" s="19" t="n">
        <f aca="false">IF(E41="","",ROUND(E41/(1+$C$4),0))</f>
        <v>580</v>
      </c>
      <c r="G41" s="20" t="n">
        <v>66.4</v>
      </c>
      <c r="H41" s="21" t="n">
        <f aca="false">IF(OR(F41="",F41=0,G41=""),"",G41/F41)</f>
        <v>0.11448275862069</v>
      </c>
      <c r="I41" s="22" t="n">
        <f aca="false">IF(OR(F41="",G41=""),"",F41-G41)</f>
        <v>513.6</v>
      </c>
      <c r="J41" s="23" t="n">
        <v>658</v>
      </c>
      <c r="K41" s="19" t="n">
        <f aca="false">IF(J41="","",ROUND(J41/(1+$D$4),0))</f>
        <v>598</v>
      </c>
      <c r="L41" s="21" t="n">
        <f aca="false">IF(OR(K41="",K41=0,G41=""),"",G41/K41)</f>
        <v>0.111036789297659</v>
      </c>
      <c r="M41" s="22" t="n">
        <f aca="false">IF(OR(K41="",G41=""),"",K41-G41)</f>
        <v>531.6</v>
      </c>
      <c r="N41" s="24" t="n">
        <f aca="false">J41-E41</f>
        <v>20</v>
      </c>
      <c r="O41" s="41" t="s">
        <v>62</v>
      </c>
    </row>
    <row r="42" customFormat="false" ht="14.25" hidden="false" customHeight="false" outlineLevel="0" collapsed="false">
      <c r="A42" s="26" t="n">
        <v>32</v>
      </c>
      <c r="B42" s="27" t="s">
        <v>25</v>
      </c>
      <c r="C42" s="28" t="s">
        <v>64</v>
      </c>
      <c r="D42" s="29" t="s">
        <v>65</v>
      </c>
      <c r="E42" s="30" t="n">
        <v>583</v>
      </c>
      <c r="F42" s="31" t="n">
        <f aca="false">IF(E42="","",ROUND(E42/(1+$C$4),0))</f>
        <v>530</v>
      </c>
      <c r="G42" s="20" t="n">
        <v>166.6</v>
      </c>
      <c r="H42" s="32" t="n">
        <f aca="false">IF(OR(F42="",F42=0,G42=""),"",G42/F42)</f>
        <v>0.314339622641509</v>
      </c>
      <c r="I42" s="33" t="n">
        <f aca="false">IF(OR(F42="",G42=""),"",F42-G42)</f>
        <v>363.4</v>
      </c>
      <c r="J42" s="23" t="n">
        <v>613</v>
      </c>
      <c r="K42" s="31" t="n">
        <f aca="false">IF(J42="","",ROUND(J42/(1+$D$4),0))</f>
        <v>557</v>
      </c>
      <c r="L42" s="21" t="n">
        <f aca="false">IF(OR(K42="",K42=0,G42=""),"",G42/K42)</f>
        <v>0.299102333931777</v>
      </c>
      <c r="M42" s="22" t="n">
        <f aca="false">IF(OR(K42="",G42=""),"",K42-G42)</f>
        <v>390.4</v>
      </c>
      <c r="N42" s="34" t="n">
        <f aca="false">J42-E42</f>
        <v>30</v>
      </c>
      <c r="O42" s="35" t="s">
        <v>29</v>
      </c>
    </row>
    <row r="43" customFormat="false" ht="14.25" hidden="false" customHeight="false" outlineLevel="0" collapsed="false">
      <c r="A43" s="14" t="n">
        <v>33</v>
      </c>
      <c r="B43" s="15" t="s">
        <v>25</v>
      </c>
      <c r="C43" s="16" t="s">
        <v>64</v>
      </c>
      <c r="D43" s="29" t="s">
        <v>66</v>
      </c>
      <c r="E43" s="18" t="n">
        <v>1958</v>
      </c>
      <c r="F43" s="19" t="n">
        <f aca="false">IF(E43="","",ROUND(E43/(1+$C$4),0))</f>
        <v>1780</v>
      </c>
      <c r="G43" s="20" t="n">
        <v>680</v>
      </c>
      <c r="H43" s="21" t="n">
        <f aca="false">IF(OR(F43="",F43=0,G43=""),"",G43/F43)</f>
        <v>0.382022471910112</v>
      </c>
      <c r="I43" s="22" t="n">
        <f aca="false">IF(OR(F43="",G43=""),"",F43-G43)</f>
        <v>1100</v>
      </c>
      <c r="J43" s="23" t="n">
        <v>1978</v>
      </c>
      <c r="K43" s="19" t="n">
        <f aca="false">IF(J43="","",ROUND(J43/(1+$D$4),0))</f>
        <v>1798</v>
      </c>
      <c r="L43" s="21" t="n">
        <f aca="false">IF(OR(K43="",K43=0,G43=""),"",G43/K43)</f>
        <v>0.378197997775306</v>
      </c>
      <c r="M43" s="22" t="n">
        <f aca="false">IF(OR(K43="",G43=""),"",K43-G43)</f>
        <v>1118</v>
      </c>
      <c r="N43" s="24" t="n">
        <f aca="false">J43-E43</f>
        <v>20</v>
      </c>
      <c r="O43" s="36" t="s">
        <v>29</v>
      </c>
    </row>
    <row r="44" customFormat="false" ht="14.25" hidden="false" customHeight="false" outlineLevel="0" collapsed="false">
      <c r="A44" s="26" t="n">
        <v>34</v>
      </c>
      <c r="B44" s="27" t="s">
        <v>25</v>
      </c>
      <c r="C44" s="28" t="s">
        <v>64</v>
      </c>
      <c r="D44" s="29" t="s">
        <v>67</v>
      </c>
      <c r="E44" s="30" t="n">
        <v>583</v>
      </c>
      <c r="F44" s="31" t="n">
        <f aca="false">IF(E44="","",ROUND(E44/(1+$C$4),0))</f>
        <v>530</v>
      </c>
      <c r="G44" s="20" t="n">
        <v>166.6</v>
      </c>
      <c r="H44" s="32" t="n">
        <f aca="false">IF(OR(F44="",F44=0,G44=""),"",G44/F44)</f>
        <v>0.314339622641509</v>
      </c>
      <c r="I44" s="33" t="n">
        <f aca="false">IF(OR(F44="",G44=""),"",F44-G44)</f>
        <v>363.4</v>
      </c>
      <c r="J44" s="23" t="n">
        <v>613</v>
      </c>
      <c r="K44" s="31" t="n">
        <f aca="false">IF(J44="","",ROUND(J44/(1+$D$4),0))</f>
        <v>557</v>
      </c>
      <c r="L44" s="21" t="n">
        <f aca="false">IF(OR(K44="",K44=0,G44=""),"",G44/K44)</f>
        <v>0.299102333931777</v>
      </c>
      <c r="M44" s="22" t="n">
        <f aca="false">IF(OR(K44="",G44=""),"",K44-G44)</f>
        <v>390.4</v>
      </c>
      <c r="N44" s="34" t="n">
        <f aca="false">J44-E44</f>
        <v>30</v>
      </c>
      <c r="O44" s="35" t="s">
        <v>29</v>
      </c>
    </row>
    <row r="45" customFormat="false" ht="14.25" hidden="false" customHeight="false" outlineLevel="0" collapsed="false">
      <c r="A45" s="14" t="n">
        <v>35</v>
      </c>
      <c r="B45" s="15" t="s">
        <v>25</v>
      </c>
      <c r="C45" s="16" t="s">
        <v>64</v>
      </c>
      <c r="D45" s="29" t="s">
        <v>68</v>
      </c>
      <c r="E45" s="18" t="n">
        <v>1958</v>
      </c>
      <c r="F45" s="19" t="n">
        <f aca="false">IF(E45="","",ROUND(E45/(1+$C$4),0))</f>
        <v>1780</v>
      </c>
      <c r="G45" s="20" t="n">
        <v>680</v>
      </c>
      <c r="H45" s="21" t="n">
        <f aca="false">IF(OR(F45="",F45=0,G45=""),"",G45/F45)</f>
        <v>0.382022471910112</v>
      </c>
      <c r="I45" s="22" t="n">
        <f aca="false">IF(OR(F45="",G45=""),"",F45-G45)</f>
        <v>1100</v>
      </c>
      <c r="J45" s="23" t="n">
        <v>1978</v>
      </c>
      <c r="K45" s="19" t="n">
        <f aca="false">IF(J45="","",ROUND(J45/(1+$D$4),0))</f>
        <v>1798</v>
      </c>
      <c r="L45" s="21" t="n">
        <f aca="false">IF(OR(K45="",K45=0,G45=""),"",G45/K45)</f>
        <v>0.378197997775306</v>
      </c>
      <c r="M45" s="22" t="n">
        <f aca="false">IF(OR(K45="",G45=""),"",K45-G45)</f>
        <v>1118</v>
      </c>
      <c r="N45" s="24" t="n">
        <f aca="false">J45-E45</f>
        <v>20</v>
      </c>
      <c r="O45" s="36" t="s">
        <v>29</v>
      </c>
    </row>
    <row r="46" customFormat="false" ht="14.25" hidden="false" customHeight="false" outlineLevel="0" collapsed="false">
      <c r="A46" s="26" t="n">
        <v>36</v>
      </c>
      <c r="B46" s="27" t="s">
        <v>25</v>
      </c>
      <c r="C46" s="28" t="s">
        <v>64</v>
      </c>
      <c r="D46" s="29" t="s">
        <v>69</v>
      </c>
      <c r="E46" s="30" t="n">
        <v>1298</v>
      </c>
      <c r="F46" s="31" t="n">
        <f aca="false">IF(E46="","",ROUND(E46/(1+$C$4),0))</f>
        <v>1180</v>
      </c>
      <c r="G46" s="20" t="n">
        <v>420</v>
      </c>
      <c r="H46" s="32" t="n">
        <f aca="false">IF(OR(F46="",F46=0,G46=""),"",G46/F46)</f>
        <v>0.355932203389831</v>
      </c>
      <c r="I46" s="33" t="n">
        <f aca="false">IF(OR(F46="",G46=""),"",F46-G46)</f>
        <v>760</v>
      </c>
      <c r="J46" s="23" t="n">
        <v>1318</v>
      </c>
      <c r="K46" s="31" t="n">
        <f aca="false">IF(J46="","",ROUND(J46/(1+$D$4),0))</f>
        <v>1198</v>
      </c>
      <c r="L46" s="21" t="n">
        <f aca="false">IF(OR(K46="",K46=0,G46=""),"",G46/K46)</f>
        <v>0.350584307178631</v>
      </c>
      <c r="M46" s="22" t="n">
        <f aca="false">IF(OR(K46="",G46=""),"",K46-G46)</f>
        <v>778</v>
      </c>
      <c r="N46" s="34" t="n">
        <f aca="false">J46-E46</f>
        <v>20</v>
      </c>
      <c r="O46" s="35" t="s">
        <v>29</v>
      </c>
    </row>
    <row r="47" customFormat="false" ht="14.25" hidden="false" customHeight="false" outlineLevel="0" collapsed="false">
      <c r="A47" s="14" t="n">
        <v>37</v>
      </c>
      <c r="B47" s="15" t="s">
        <v>25</v>
      </c>
      <c r="C47" s="16" t="s">
        <v>64</v>
      </c>
      <c r="D47" s="29" t="s">
        <v>70</v>
      </c>
      <c r="E47" s="18" t="n">
        <v>748</v>
      </c>
      <c r="F47" s="19" t="n">
        <f aca="false">IF(E47="","",ROUND(E47/(1+$C$4),0))</f>
        <v>680</v>
      </c>
      <c r="G47" s="20" t="n">
        <v>270</v>
      </c>
      <c r="H47" s="21" t="n">
        <f aca="false">IF(OR(F47="",F47=0,G47=""),"",G47/F47)</f>
        <v>0.397058823529412</v>
      </c>
      <c r="I47" s="22" t="n">
        <f aca="false">IF(OR(F47="",G47=""),"",F47-G47)</f>
        <v>410</v>
      </c>
      <c r="J47" s="23" t="n">
        <v>768</v>
      </c>
      <c r="K47" s="19" t="n">
        <f aca="false">IF(J47="","",ROUND(J47/(1+$D$4),0))</f>
        <v>698</v>
      </c>
      <c r="L47" s="21" t="n">
        <f aca="false">IF(OR(K47="",K47=0,G47=""),"",G47/K47)</f>
        <v>0.386819484240688</v>
      </c>
      <c r="M47" s="22" t="n">
        <f aca="false">IF(OR(K47="",G47=""),"",K47-G47)</f>
        <v>428</v>
      </c>
      <c r="N47" s="24" t="n">
        <f aca="false">J47-E47</f>
        <v>20</v>
      </c>
      <c r="O47" s="36" t="s">
        <v>29</v>
      </c>
    </row>
    <row r="48" customFormat="false" ht="14.25" hidden="false" customHeight="false" outlineLevel="0" collapsed="false">
      <c r="A48" s="26" t="n">
        <v>38</v>
      </c>
      <c r="B48" s="27" t="s">
        <v>25</v>
      </c>
      <c r="C48" s="28" t="s">
        <v>64</v>
      </c>
      <c r="D48" s="29" t="s">
        <v>71</v>
      </c>
      <c r="E48" s="30" t="n">
        <v>583</v>
      </c>
      <c r="F48" s="31" t="n">
        <f aca="false">IF(E48="","",ROUND(E48/(1+$C$4),0))</f>
        <v>530</v>
      </c>
      <c r="G48" s="20" t="n">
        <v>64.3</v>
      </c>
      <c r="H48" s="32" t="n">
        <f aca="false">IF(OR(F48="",F48=0,G48=""),"",G48/F48)</f>
        <v>0.121320754716981</v>
      </c>
      <c r="I48" s="33" t="n">
        <f aca="false">IF(OR(F48="",G48=""),"",F48-G48)</f>
        <v>465.7</v>
      </c>
      <c r="J48" s="23" t="n">
        <v>613</v>
      </c>
      <c r="K48" s="31" t="n">
        <f aca="false">IF(J48="","",ROUND(J48/(1+$D$4),0))</f>
        <v>557</v>
      </c>
      <c r="L48" s="21" t="n">
        <f aca="false">IF(OR(K48="",K48=0,G48=""),"",G48/K48)</f>
        <v>0.115439856373429</v>
      </c>
      <c r="M48" s="22" t="n">
        <f aca="false">IF(OR(K48="",G48=""),"",K48-G48)</f>
        <v>492.7</v>
      </c>
      <c r="N48" s="34" t="n">
        <f aca="false">J48-E48</f>
        <v>30</v>
      </c>
      <c r="O48" s="35" t="s">
        <v>72</v>
      </c>
    </row>
    <row r="49" customFormat="false" ht="14.25" hidden="false" customHeight="false" outlineLevel="0" collapsed="false">
      <c r="A49" s="14" t="n">
        <v>39</v>
      </c>
      <c r="B49" s="15" t="s">
        <v>25</v>
      </c>
      <c r="C49" s="16" t="s">
        <v>73</v>
      </c>
      <c r="D49" s="42" t="s">
        <v>74</v>
      </c>
      <c r="E49" s="18" t="n">
        <v>1111</v>
      </c>
      <c r="F49" s="19" t="n">
        <f aca="false">IF(E49="","",ROUND(E49/(1+$C$4),0))</f>
        <v>1010</v>
      </c>
      <c r="G49" s="20"/>
      <c r="H49" s="21" t="str">
        <f aca="false">IF(OR(F49="",F49=0,G49=""),"",G49/F49)</f>
        <v/>
      </c>
      <c r="I49" s="22" t="str">
        <f aca="false">IF(OR(F49="",G49=""),"",F49-G49)</f>
        <v/>
      </c>
      <c r="J49" s="23" t="n">
        <v>1111</v>
      </c>
      <c r="K49" s="19" t="n">
        <f aca="false">IF(J49="","",ROUND(J49/(1+$D$4),0))</f>
        <v>1010</v>
      </c>
      <c r="L49" s="21" t="str">
        <f aca="false">IF(OR(K49="",K49=0,G49=""),"",G49/K49)</f>
        <v/>
      </c>
      <c r="M49" s="22" t="str">
        <f aca="false">IF(OR(K49="",G49=""),"",K49-G49)</f>
        <v/>
      </c>
      <c r="N49" s="24" t="n">
        <f aca="false">J49-E49</f>
        <v>0</v>
      </c>
      <c r="O49" s="36" t="s">
        <v>29</v>
      </c>
    </row>
    <row r="50" customFormat="false" ht="14.25" hidden="false" customHeight="false" outlineLevel="0" collapsed="false">
      <c r="A50" s="26" t="n">
        <v>40</v>
      </c>
      <c r="B50" s="27" t="s">
        <v>25</v>
      </c>
      <c r="C50" s="28" t="s">
        <v>73</v>
      </c>
      <c r="D50" s="43" t="s">
        <v>75</v>
      </c>
      <c r="E50" s="30" t="n">
        <v>308</v>
      </c>
      <c r="F50" s="31" t="n">
        <f aca="false">IF(E50="","",ROUND(E50/(1+$C$4),0))</f>
        <v>280</v>
      </c>
      <c r="G50" s="20"/>
      <c r="H50" s="32" t="str">
        <f aca="false">IF(OR(F50="",F50=0,G50=""),"",G50/F50)</f>
        <v/>
      </c>
      <c r="I50" s="33" t="str">
        <f aca="false">IF(OR(F50="",G50=""),"",F50-G50)</f>
        <v/>
      </c>
      <c r="J50" s="23" t="n">
        <v>308</v>
      </c>
      <c r="K50" s="31" t="n">
        <f aca="false">IF(J50="","",ROUND(J50/(1+$D$4),0))</f>
        <v>280</v>
      </c>
      <c r="L50" s="21" t="str">
        <f aca="false">IF(OR(K50="",K50=0,G50=""),"",G50/K50)</f>
        <v/>
      </c>
      <c r="M50" s="22" t="str">
        <f aca="false">IF(OR(K50="",G50=""),"",K50-G50)</f>
        <v/>
      </c>
      <c r="N50" s="34" t="n">
        <f aca="false">J50-E50</f>
        <v>0</v>
      </c>
      <c r="O50" s="35" t="s">
        <v>76</v>
      </c>
    </row>
    <row r="51" customFormat="false" ht="14.25" hidden="false" customHeight="false" outlineLevel="0" collapsed="false">
      <c r="A51" s="14" t="n">
        <v>41</v>
      </c>
      <c r="B51" s="15" t="s">
        <v>77</v>
      </c>
      <c r="C51" s="16" t="s">
        <v>78</v>
      </c>
      <c r="D51" s="17" t="s">
        <v>79</v>
      </c>
      <c r="E51" s="18" t="n">
        <v>748</v>
      </c>
      <c r="F51" s="19" t="n">
        <f aca="false">IF(E51="","",ROUND(E51/(1+$C$4),0))</f>
        <v>680</v>
      </c>
      <c r="G51" s="20" t="n">
        <v>177.3</v>
      </c>
      <c r="H51" s="21" t="n">
        <f aca="false">IF(OR(F51="",F51=0,G51=""),"",G51/F51)</f>
        <v>0.260735294117647</v>
      </c>
      <c r="I51" s="22" t="n">
        <f aca="false">IF(OR(F51="",G51=""),"",F51-G51)</f>
        <v>502.7</v>
      </c>
      <c r="J51" s="23" t="n">
        <v>768</v>
      </c>
      <c r="K51" s="19" t="n">
        <f aca="false">IF(J51="","",ROUND(J51/(1+$D$4),0))</f>
        <v>698</v>
      </c>
      <c r="L51" s="21" t="n">
        <f aca="false">IF(OR(K51="",K51=0,G51=""),"",G51/K51)</f>
        <v>0.254011461318052</v>
      </c>
      <c r="M51" s="22" t="n">
        <f aca="false">IF(OR(K51="",G51=""),"",K51-G51)</f>
        <v>520.7</v>
      </c>
      <c r="N51" s="24" t="n">
        <f aca="false">J51-E51</f>
        <v>20</v>
      </c>
      <c r="O51" s="25"/>
    </row>
    <row r="52" customFormat="false" ht="14.25" hidden="false" customHeight="false" outlineLevel="0" collapsed="false">
      <c r="A52" s="26" t="n">
        <v>42</v>
      </c>
      <c r="B52" s="27" t="s">
        <v>77</v>
      </c>
      <c r="C52" s="28" t="s">
        <v>78</v>
      </c>
      <c r="D52" s="38" t="s">
        <v>80</v>
      </c>
      <c r="E52" s="30" t="n">
        <v>858</v>
      </c>
      <c r="F52" s="31" t="n">
        <f aca="false">IF(E52="","",ROUND(E52/(1+$C$4),0))</f>
        <v>780</v>
      </c>
      <c r="G52" s="20" t="n">
        <v>192.2</v>
      </c>
      <c r="H52" s="32" t="n">
        <f aca="false">IF(OR(F52="",F52=0,G52=""),"",G52/F52)</f>
        <v>0.246410256410256</v>
      </c>
      <c r="I52" s="33" t="n">
        <f aca="false">IF(OR(F52="",G52=""),"",F52-G52)</f>
        <v>587.8</v>
      </c>
      <c r="J52" s="23" t="n">
        <v>878</v>
      </c>
      <c r="K52" s="31" t="n">
        <f aca="false">IF(J52="","",ROUND(J52/(1+$D$4),0))</f>
        <v>798</v>
      </c>
      <c r="L52" s="21" t="n">
        <f aca="false">IF(OR(K52="",K52=0,G52=""),"",G52/K52)</f>
        <v>0.240852130325815</v>
      </c>
      <c r="M52" s="22" t="n">
        <f aca="false">IF(OR(K52="",G52=""),"",K52-G52)</f>
        <v>605.8</v>
      </c>
      <c r="N52" s="34" t="n">
        <f aca="false">J52-E52</f>
        <v>20</v>
      </c>
      <c r="O52" s="39"/>
    </row>
    <row r="53" customFormat="false" ht="14.25" hidden="false" customHeight="false" outlineLevel="0" collapsed="false">
      <c r="A53" s="14" t="n">
        <v>43</v>
      </c>
      <c r="B53" s="15" t="s">
        <v>77</v>
      </c>
      <c r="C53" s="16" t="s">
        <v>78</v>
      </c>
      <c r="D53" s="17" t="s">
        <v>81</v>
      </c>
      <c r="E53" s="18" t="n">
        <v>858</v>
      </c>
      <c r="F53" s="19" t="n">
        <f aca="false">IF(E53="","",ROUND(E53/(1+$C$4),0))</f>
        <v>780</v>
      </c>
      <c r="G53" s="20" t="n">
        <v>344.2</v>
      </c>
      <c r="H53" s="21" t="n">
        <f aca="false">IF(OR(F53="",F53=0,G53=""),"",G53/F53)</f>
        <v>0.441282051282051</v>
      </c>
      <c r="I53" s="22" t="n">
        <f aca="false">IF(OR(F53="",G53=""),"",F53-G53)</f>
        <v>435.8</v>
      </c>
      <c r="J53" s="23" t="n">
        <v>878</v>
      </c>
      <c r="K53" s="19" t="n">
        <f aca="false">IF(J53="","",ROUND(J53/(1+$D$4),0))</f>
        <v>798</v>
      </c>
      <c r="L53" s="21" t="n">
        <f aca="false">IF(OR(K53="",K53=0,G53=""),"",G53/K53)</f>
        <v>0.431328320802005</v>
      </c>
      <c r="M53" s="22" t="n">
        <f aca="false">IF(OR(K53="",G53=""),"",K53-G53)</f>
        <v>453.8</v>
      </c>
      <c r="N53" s="24" t="n">
        <f aca="false">J53-E53</f>
        <v>20</v>
      </c>
      <c r="O53" s="25"/>
    </row>
    <row r="54" customFormat="false" ht="14.25" hidden="false" customHeight="false" outlineLevel="0" collapsed="false">
      <c r="A54" s="26" t="n">
        <v>44</v>
      </c>
      <c r="B54" s="27" t="s">
        <v>77</v>
      </c>
      <c r="C54" s="28" t="s">
        <v>78</v>
      </c>
      <c r="D54" s="37" t="s">
        <v>82</v>
      </c>
      <c r="E54" s="30" t="n">
        <v>583</v>
      </c>
      <c r="F54" s="31" t="n">
        <f aca="false">IF(E54="","",ROUND(E54/(1+$C$4),0))</f>
        <v>530</v>
      </c>
      <c r="G54" s="20" t="n">
        <v>172.2</v>
      </c>
      <c r="H54" s="32" t="n">
        <f aca="false">IF(OR(F54="",F54=0,G54=""),"",G54/F54)</f>
        <v>0.324905660377358</v>
      </c>
      <c r="I54" s="33" t="n">
        <f aca="false">IF(OR(F54="",G54=""),"",F54-G54)</f>
        <v>357.8</v>
      </c>
      <c r="J54" s="23" t="n">
        <v>603</v>
      </c>
      <c r="K54" s="31" t="n">
        <f aca="false">IF(J54="","",ROUND(J54/(1+$D$4),0))</f>
        <v>548</v>
      </c>
      <c r="L54" s="21" t="n">
        <f aca="false">IF(OR(K54="",K54=0,G54=""),"",G54/K54)</f>
        <v>0.314233576642336</v>
      </c>
      <c r="M54" s="22" t="n">
        <f aca="false">IF(OR(K54="",G54=""),"",K54-G54)</f>
        <v>375.8</v>
      </c>
      <c r="N54" s="34" t="n">
        <f aca="false">J54-E54</f>
        <v>20</v>
      </c>
      <c r="O54" s="35" t="s">
        <v>29</v>
      </c>
    </row>
    <row r="55" customFormat="false" ht="14.25" hidden="false" customHeight="false" outlineLevel="0" collapsed="false">
      <c r="A55" s="14" t="n">
        <v>45</v>
      </c>
      <c r="B55" s="15" t="s">
        <v>77</v>
      </c>
      <c r="C55" s="16" t="s">
        <v>78</v>
      </c>
      <c r="D55" s="29" t="s">
        <v>83</v>
      </c>
      <c r="E55" s="18" t="n">
        <v>748</v>
      </c>
      <c r="F55" s="19" t="n">
        <f aca="false">IF(E55="","",ROUND(E55/(1+$C$4),0))</f>
        <v>680</v>
      </c>
      <c r="G55" s="20" t="n">
        <v>257.9</v>
      </c>
      <c r="H55" s="21" t="n">
        <f aca="false">IF(OR(F55="",F55=0,G55=""),"",G55/F55)</f>
        <v>0.379264705882353</v>
      </c>
      <c r="I55" s="22" t="n">
        <f aca="false">IF(OR(F55="",G55=""),"",F55-G55)</f>
        <v>422.1</v>
      </c>
      <c r="J55" s="23" t="n">
        <v>768</v>
      </c>
      <c r="K55" s="19" t="n">
        <f aca="false">IF(J55="","",ROUND(J55/(1+$D$4),0))</f>
        <v>698</v>
      </c>
      <c r="L55" s="21" t="n">
        <f aca="false">IF(OR(K55="",K55=0,G55=""),"",G55/K55)</f>
        <v>0.369484240687679</v>
      </c>
      <c r="M55" s="22" t="n">
        <f aca="false">IF(OR(K55="",G55=""),"",K55-G55)</f>
        <v>440.1</v>
      </c>
      <c r="N55" s="24" t="n">
        <f aca="false">J55-E55</f>
        <v>20</v>
      </c>
      <c r="O55" s="36" t="s">
        <v>29</v>
      </c>
    </row>
    <row r="56" customFormat="false" ht="14.25" hidden="false" customHeight="false" outlineLevel="0" collapsed="false">
      <c r="A56" s="26" t="n">
        <v>46</v>
      </c>
      <c r="B56" s="27" t="s">
        <v>77</v>
      </c>
      <c r="C56" s="28" t="s">
        <v>78</v>
      </c>
      <c r="D56" s="29" t="s">
        <v>84</v>
      </c>
      <c r="E56" s="30" t="n">
        <v>418</v>
      </c>
      <c r="F56" s="31" t="n">
        <f aca="false">IF(E56="","",ROUND(E56/(1+$C$4),0))</f>
        <v>380</v>
      </c>
      <c r="G56" s="20" t="n">
        <v>111.6</v>
      </c>
      <c r="H56" s="32" t="n">
        <f aca="false">IF(OR(F56="",F56=0,G56=""),"",G56/F56)</f>
        <v>0.293684210526316</v>
      </c>
      <c r="I56" s="33" t="n">
        <f aca="false">IF(OR(F56="",G56=""),"",F56-G56)</f>
        <v>268.4</v>
      </c>
      <c r="J56" s="23" t="n">
        <v>438</v>
      </c>
      <c r="K56" s="31" t="n">
        <f aca="false">IF(J56="","",ROUND(J56/(1+$D$4),0))</f>
        <v>398</v>
      </c>
      <c r="L56" s="21" t="n">
        <f aca="false">IF(OR(K56="",K56=0,G56=""),"",G56/K56)</f>
        <v>0.280402010050251</v>
      </c>
      <c r="M56" s="22" t="n">
        <f aca="false">IF(OR(K56="",G56=""),"",K56-G56)</f>
        <v>286.4</v>
      </c>
      <c r="N56" s="34" t="n">
        <f aca="false">J56-E56</f>
        <v>20</v>
      </c>
      <c r="O56" s="35" t="s">
        <v>29</v>
      </c>
    </row>
    <row r="57" customFormat="false" ht="14.25" hidden="false" customHeight="false" outlineLevel="0" collapsed="false">
      <c r="A57" s="14" t="n">
        <v>47</v>
      </c>
      <c r="B57" s="15" t="s">
        <v>77</v>
      </c>
      <c r="C57" s="16" t="s">
        <v>78</v>
      </c>
      <c r="D57" s="29" t="s">
        <v>85</v>
      </c>
      <c r="E57" s="18" t="n">
        <v>418</v>
      </c>
      <c r="F57" s="19" t="n">
        <f aca="false">IF(E57="","",ROUND(E57/(1+$C$4),0))</f>
        <v>380</v>
      </c>
      <c r="G57" s="20" t="n">
        <v>211</v>
      </c>
      <c r="H57" s="21" t="n">
        <f aca="false">IF(OR(F57="",F57=0,G57=""),"",G57/F57)</f>
        <v>0.555263157894737</v>
      </c>
      <c r="I57" s="22" t="n">
        <f aca="false">IF(OR(F57="",G57=""),"",F57-G57)</f>
        <v>169</v>
      </c>
      <c r="J57" s="23" t="n">
        <v>438</v>
      </c>
      <c r="K57" s="19" t="n">
        <f aca="false">IF(J57="","",ROUND(J57/(1+$D$4),0))</f>
        <v>398</v>
      </c>
      <c r="L57" s="21" t="n">
        <f aca="false">IF(OR(K57="",K57=0,G57=""),"",G57/K57)</f>
        <v>0.530150753768844</v>
      </c>
      <c r="M57" s="22" t="n">
        <f aca="false">IF(OR(K57="",G57=""),"",K57-G57)</f>
        <v>187</v>
      </c>
      <c r="N57" s="24" t="n">
        <f aca="false">J57-E57</f>
        <v>20</v>
      </c>
      <c r="O57" s="36" t="s">
        <v>29</v>
      </c>
    </row>
    <row r="58" customFormat="false" ht="14.25" hidden="false" customHeight="false" outlineLevel="0" collapsed="false">
      <c r="A58" s="26" t="n">
        <v>48</v>
      </c>
      <c r="B58" s="27" t="s">
        <v>77</v>
      </c>
      <c r="C58" s="28" t="s">
        <v>78</v>
      </c>
      <c r="D58" s="29" t="s">
        <v>86</v>
      </c>
      <c r="E58" s="30" t="n">
        <v>473</v>
      </c>
      <c r="F58" s="31" t="n">
        <f aca="false">IF(E58="","",ROUND(E58/(1+$C$4),0))</f>
        <v>430</v>
      </c>
      <c r="G58" s="20" t="n">
        <v>77.6</v>
      </c>
      <c r="H58" s="32" t="n">
        <f aca="false">IF(OR(F58="",F58=0,G58=""),"",G58/F58)</f>
        <v>0.18046511627907</v>
      </c>
      <c r="I58" s="33" t="n">
        <f aca="false">IF(OR(F58="",G58=""),"",F58-G58)</f>
        <v>352.4</v>
      </c>
      <c r="J58" s="23" t="n">
        <v>493</v>
      </c>
      <c r="K58" s="31" t="n">
        <f aca="false">IF(J58="","",ROUND(J58/(1+$D$4),0))</f>
        <v>448</v>
      </c>
      <c r="L58" s="21" t="n">
        <f aca="false">IF(OR(K58="",K58=0,G58=""),"",G58/K58)</f>
        <v>0.173214285714286</v>
      </c>
      <c r="M58" s="22" t="n">
        <f aca="false">IF(OR(K58="",G58=""),"",K58-G58)</f>
        <v>370.4</v>
      </c>
      <c r="N58" s="34" t="n">
        <f aca="false">J58-E58</f>
        <v>20</v>
      </c>
      <c r="O58" s="35" t="s">
        <v>29</v>
      </c>
    </row>
    <row r="59" customFormat="false" ht="14.25" hidden="false" customHeight="false" outlineLevel="0" collapsed="false">
      <c r="A59" s="14" t="n">
        <v>49</v>
      </c>
      <c r="B59" s="15" t="s">
        <v>77</v>
      </c>
      <c r="C59" s="16" t="s">
        <v>78</v>
      </c>
      <c r="D59" s="17" t="s">
        <v>87</v>
      </c>
      <c r="E59" s="18" t="n">
        <v>528</v>
      </c>
      <c r="F59" s="19" t="n">
        <f aca="false">IF(E59="","",ROUND(E59/(1+$C$4),0))</f>
        <v>480</v>
      </c>
      <c r="G59" s="20" t="n">
        <v>93.9</v>
      </c>
      <c r="H59" s="21" t="n">
        <f aca="false">IF(OR(F59="",F59=0,G59=""),"",G59/F59)</f>
        <v>0.195625</v>
      </c>
      <c r="I59" s="22" t="n">
        <f aca="false">IF(OR(F59="",G59=""),"",F59-G59)</f>
        <v>386.1</v>
      </c>
      <c r="J59" s="23" t="n">
        <v>548</v>
      </c>
      <c r="K59" s="19" t="n">
        <f aca="false">IF(J59="","",ROUND(J59/(1+$D$4),0))</f>
        <v>498</v>
      </c>
      <c r="L59" s="21" t="n">
        <f aca="false">IF(OR(K59="",K59=0,G59=""),"",G59/K59)</f>
        <v>0.18855421686747</v>
      </c>
      <c r="M59" s="22" t="n">
        <f aca="false">IF(OR(K59="",G59=""),"",K59-G59)</f>
        <v>404.1</v>
      </c>
      <c r="N59" s="24" t="n">
        <f aca="false">J59-E59</f>
        <v>20</v>
      </c>
      <c r="O59" s="25"/>
    </row>
    <row r="60" customFormat="false" ht="14.25" hidden="false" customHeight="false" outlineLevel="0" collapsed="false">
      <c r="A60" s="26" t="n">
        <v>50</v>
      </c>
      <c r="B60" s="27" t="s">
        <v>77</v>
      </c>
      <c r="C60" s="28" t="s">
        <v>78</v>
      </c>
      <c r="D60" s="38" t="s">
        <v>88</v>
      </c>
      <c r="E60" s="30" t="n">
        <v>638</v>
      </c>
      <c r="F60" s="31" t="n">
        <f aca="false">IF(E60="","",ROUND(E60/(1+$C$4),0))</f>
        <v>580</v>
      </c>
      <c r="G60" s="20" t="n">
        <v>214.4</v>
      </c>
      <c r="H60" s="32" t="n">
        <f aca="false">IF(OR(F60="",F60=0,G60=""),"",G60/F60)</f>
        <v>0.369655172413793</v>
      </c>
      <c r="I60" s="33" t="n">
        <f aca="false">IF(OR(F60="",G60=""),"",F60-G60)</f>
        <v>365.6</v>
      </c>
      <c r="J60" s="23" t="n">
        <v>658</v>
      </c>
      <c r="K60" s="31" t="n">
        <f aca="false">IF(J60="","",ROUND(J60/(1+$D$4),0))</f>
        <v>598</v>
      </c>
      <c r="L60" s="21" t="n">
        <f aca="false">IF(OR(K60="",K60=0,G60=""),"",G60/K60)</f>
        <v>0.358528428093646</v>
      </c>
      <c r="M60" s="22" t="n">
        <f aca="false">IF(OR(K60="",G60=""),"",K60-G60)</f>
        <v>383.6</v>
      </c>
      <c r="N60" s="34" t="n">
        <f aca="false">J60-E60</f>
        <v>20</v>
      </c>
      <c r="O60" s="39"/>
    </row>
    <row r="61" customFormat="false" ht="14.25" hidden="false" customHeight="false" outlineLevel="0" collapsed="false">
      <c r="A61" s="14" t="n">
        <v>51</v>
      </c>
      <c r="B61" s="15" t="s">
        <v>77</v>
      </c>
      <c r="C61" s="16" t="s">
        <v>78</v>
      </c>
      <c r="D61" s="17" t="s">
        <v>89</v>
      </c>
      <c r="E61" s="18" t="n">
        <v>638</v>
      </c>
      <c r="F61" s="19" t="n">
        <f aca="false">IF(E61="","",ROUND(E61/(1+$C$4),0))</f>
        <v>580</v>
      </c>
      <c r="G61" s="20" t="n">
        <v>373.2</v>
      </c>
      <c r="H61" s="21" t="n">
        <f aca="false">IF(OR(F61="",F61=0,G61=""),"",G61/F61)</f>
        <v>0.643448275862069</v>
      </c>
      <c r="I61" s="22" t="n">
        <f aca="false">IF(OR(F61="",G61=""),"",F61-G61)</f>
        <v>206.8</v>
      </c>
      <c r="J61" s="23" t="n">
        <v>658</v>
      </c>
      <c r="K61" s="19" t="n">
        <f aca="false">IF(J61="","",ROUND(J61/(1+$D$4),0))</f>
        <v>598</v>
      </c>
      <c r="L61" s="21" t="n">
        <f aca="false">IF(OR(K61="",K61=0,G61=""),"",G61/K61)</f>
        <v>0.624080267558528</v>
      </c>
      <c r="M61" s="22" t="n">
        <f aca="false">IF(OR(K61="",G61=""),"",K61-G61)</f>
        <v>224.8</v>
      </c>
      <c r="N61" s="24" t="n">
        <f aca="false">J61-E61</f>
        <v>20</v>
      </c>
      <c r="O61" s="25"/>
    </row>
    <row r="62" customFormat="false" ht="14.25" hidden="false" customHeight="false" outlineLevel="0" collapsed="false">
      <c r="A62" s="26" t="n">
        <v>52</v>
      </c>
      <c r="B62" s="27" t="s">
        <v>77</v>
      </c>
      <c r="C62" s="28" t="s">
        <v>78</v>
      </c>
      <c r="D62" s="38" t="s">
        <v>90</v>
      </c>
      <c r="E62" s="30" t="n">
        <v>418</v>
      </c>
      <c r="F62" s="31" t="n">
        <f aca="false">IF(E62="","",ROUND(E62/(1+$C$4),0))</f>
        <v>380</v>
      </c>
      <c r="G62" s="20" t="n">
        <v>167.4</v>
      </c>
      <c r="H62" s="32" t="n">
        <f aca="false">IF(OR(F62="",F62=0,G62=""),"",G62/F62)</f>
        <v>0.440526315789474</v>
      </c>
      <c r="I62" s="33" t="n">
        <f aca="false">IF(OR(F62="",G62=""),"",F62-G62)</f>
        <v>212.6</v>
      </c>
      <c r="J62" s="23" t="n">
        <v>438</v>
      </c>
      <c r="K62" s="31" t="n">
        <f aca="false">IF(J62="","",ROUND(J62/(1+$D$4),0))</f>
        <v>398</v>
      </c>
      <c r="L62" s="21" t="n">
        <f aca="false">IF(OR(K62="",K62=0,G62=""),"",G62/K62)</f>
        <v>0.420603015075377</v>
      </c>
      <c r="M62" s="22" t="n">
        <f aca="false">IF(OR(K62="",G62=""),"",K62-G62)</f>
        <v>230.6</v>
      </c>
      <c r="N62" s="34" t="n">
        <f aca="false">J62-E62</f>
        <v>20</v>
      </c>
      <c r="O62" s="39"/>
    </row>
    <row r="63" customFormat="false" ht="14.25" hidden="false" customHeight="false" outlineLevel="0" collapsed="false">
      <c r="A63" s="14" t="n">
        <v>53</v>
      </c>
      <c r="B63" s="15" t="s">
        <v>77</v>
      </c>
      <c r="C63" s="16" t="s">
        <v>78</v>
      </c>
      <c r="D63" s="43" t="s">
        <v>91</v>
      </c>
      <c r="E63" s="18" t="n">
        <v>418</v>
      </c>
      <c r="F63" s="19" t="n">
        <f aca="false">IF(E63="","",ROUND(E63/(1+$C$4),0))</f>
        <v>380</v>
      </c>
      <c r="G63" s="20"/>
      <c r="H63" s="21" t="str">
        <f aca="false">IF(OR(F63="",F63=0,G63=""),"",G63/F63)</f>
        <v/>
      </c>
      <c r="I63" s="22" t="str">
        <f aca="false">IF(OR(F63="",G63=""),"",F63-G63)</f>
        <v/>
      </c>
      <c r="J63" s="23" t="n">
        <v>438</v>
      </c>
      <c r="K63" s="19" t="n">
        <f aca="false">IF(J63="","",ROUND(J63/(1+$D$4),0))</f>
        <v>398</v>
      </c>
      <c r="L63" s="21" t="str">
        <f aca="false">IF(OR(K63="",K63=0,G63=""),"",G63/K63)</f>
        <v/>
      </c>
      <c r="M63" s="22" t="str">
        <f aca="false">IF(OR(K63="",G63=""),"",K63-G63)</f>
        <v/>
      </c>
      <c r="N63" s="24" t="n">
        <f aca="false">J63-E63</f>
        <v>20</v>
      </c>
      <c r="O63" s="36" t="s">
        <v>29</v>
      </c>
    </row>
    <row r="64" customFormat="false" ht="14.25" hidden="false" customHeight="false" outlineLevel="0" collapsed="false">
      <c r="A64" s="26" t="n">
        <v>54</v>
      </c>
      <c r="B64" s="27" t="s">
        <v>77</v>
      </c>
      <c r="C64" s="28" t="s">
        <v>92</v>
      </c>
      <c r="D64" s="29" t="s">
        <v>93</v>
      </c>
      <c r="E64" s="30" t="n">
        <v>1408</v>
      </c>
      <c r="F64" s="31" t="n">
        <f aca="false">IF(E64="","",ROUND(E64/(1+$C$4),0))</f>
        <v>1280</v>
      </c>
      <c r="G64" s="20" t="n">
        <v>448.8</v>
      </c>
      <c r="H64" s="32" t="n">
        <f aca="false">IF(OR(F64="",F64=0,G64=""),"",G64/F64)</f>
        <v>0.350625</v>
      </c>
      <c r="I64" s="33" t="n">
        <f aca="false">IF(OR(F64="",G64=""),"",F64-G64)</f>
        <v>831.2</v>
      </c>
      <c r="J64" s="23" t="n">
        <v>1458</v>
      </c>
      <c r="K64" s="31" t="n">
        <f aca="false">IF(J64="","",ROUND(J64/(1+$D$4),0))</f>
        <v>1325</v>
      </c>
      <c r="L64" s="21" t="n">
        <f aca="false">IF(OR(K64="",K64=0,G64=""),"",G64/K64)</f>
        <v>0.338716981132076</v>
      </c>
      <c r="M64" s="22" t="n">
        <f aca="false">IF(OR(K64="",G64=""),"",K64-G64)</f>
        <v>876.2</v>
      </c>
      <c r="N64" s="34" t="n">
        <f aca="false">J64-E64</f>
        <v>50</v>
      </c>
      <c r="O64" s="35" t="s">
        <v>29</v>
      </c>
    </row>
    <row r="65" customFormat="false" ht="14.25" hidden="false" customHeight="false" outlineLevel="0" collapsed="false">
      <c r="A65" s="14" t="n">
        <v>55</v>
      </c>
      <c r="B65" s="15" t="s">
        <v>77</v>
      </c>
      <c r="C65" s="16" t="s">
        <v>92</v>
      </c>
      <c r="D65" s="29" t="s">
        <v>94</v>
      </c>
      <c r="E65" s="18" t="n">
        <v>528</v>
      </c>
      <c r="F65" s="19" t="n">
        <f aca="false">IF(E65="","",ROUND(E65/(1+$C$4),0))</f>
        <v>480</v>
      </c>
      <c r="G65" s="20" t="n">
        <v>165.2</v>
      </c>
      <c r="H65" s="21" t="n">
        <f aca="false">IF(OR(F65="",F65=0,G65=""),"",G65/F65)</f>
        <v>0.344166666666667</v>
      </c>
      <c r="I65" s="22" t="n">
        <f aca="false">IF(OR(F65="",G65=""),"",F65-G65)</f>
        <v>314.8</v>
      </c>
      <c r="J65" s="23" t="n">
        <v>548</v>
      </c>
      <c r="K65" s="19" t="n">
        <f aca="false">IF(J65="","",ROUND(J65/(1+$D$4),0))</f>
        <v>498</v>
      </c>
      <c r="L65" s="21" t="n">
        <f aca="false">IF(OR(K65="",K65=0,G65=""),"",G65/K65)</f>
        <v>0.331726907630522</v>
      </c>
      <c r="M65" s="22" t="n">
        <f aca="false">IF(OR(K65="",G65=""),"",K65-G65)</f>
        <v>332.8</v>
      </c>
      <c r="N65" s="24" t="n">
        <f aca="false">J65-E65</f>
        <v>20</v>
      </c>
      <c r="O65" s="36" t="s">
        <v>29</v>
      </c>
    </row>
    <row r="66" customFormat="false" ht="14.25" hidden="false" customHeight="false" outlineLevel="0" collapsed="false">
      <c r="A66" s="26" t="n">
        <v>56</v>
      </c>
      <c r="B66" s="27" t="s">
        <v>77</v>
      </c>
      <c r="C66" s="28" t="s">
        <v>92</v>
      </c>
      <c r="D66" s="29" t="s">
        <v>95</v>
      </c>
      <c r="E66" s="30" t="n">
        <v>528</v>
      </c>
      <c r="F66" s="31" t="n">
        <f aca="false">IF(E66="","",ROUND(E66/(1+$C$4),0))</f>
        <v>480</v>
      </c>
      <c r="G66" s="20" t="n">
        <v>75.8</v>
      </c>
      <c r="H66" s="32" t="n">
        <f aca="false">IF(OR(F66="",F66=0,G66=""),"",G66/F66)</f>
        <v>0.157916666666667</v>
      </c>
      <c r="I66" s="33" t="n">
        <f aca="false">IF(OR(F66="",G66=""),"",F66-G66)</f>
        <v>404.2</v>
      </c>
      <c r="J66" s="23" t="n">
        <v>548</v>
      </c>
      <c r="K66" s="31" t="n">
        <f aca="false">IF(J66="","",ROUND(J66/(1+$D$4),0))</f>
        <v>498</v>
      </c>
      <c r="L66" s="21" t="n">
        <f aca="false">IF(OR(K66="",K66=0,G66=""),"",G66/K66)</f>
        <v>0.152208835341365</v>
      </c>
      <c r="M66" s="22" t="n">
        <f aca="false">IF(OR(K66="",G66=""),"",K66-G66)</f>
        <v>422.2</v>
      </c>
      <c r="N66" s="34" t="n">
        <f aca="false">J66-E66</f>
        <v>20</v>
      </c>
      <c r="O66" s="35" t="s">
        <v>29</v>
      </c>
    </row>
    <row r="67" customFormat="false" ht="14.25" hidden="false" customHeight="false" outlineLevel="0" collapsed="false">
      <c r="A67" s="14" t="n">
        <v>57</v>
      </c>
      <c r="B67" s="15" t="s">
        <v>77</v>
      </c>
      <c r="C67" s="16" t="s">
        <v>92</v>
      </c>
      <c r="D67" s="17" t="s">
        <v>96</v>
      </c>
      <c r="E67" s="18" t="n">
        <v>638</v>
      </c>
      <c r="F67" s="19" t="n">
        <f aca="false">IF(E67="","",ROUND(E67/(1+$C$4),0))</f>
        <v>580</v>
      </c>
      <c r="G67" s="20" t="n">
        <v>208.3</v>
      </c>
      <c r="H67" s="21" t="n">
        <f aca="false">IF(OR(F67="",F67=0,G67=""),"",G67/F67)</f>
        <v>0.359137931034483</v>
      </c>
      <c r="I67" s="22" t="n">
        <f aca="false">IF(OR(F67="",G67=""),"",F67-G67)</f>
        <v>371.7</v>
      </c>
      <c r="J67" s="23" t="n">
        <v>658</v>
      </c>
      <c r="K67" s="19" t="n">
        <f aca="false">IF(J67="","",ROUND(J67/(1+$D$4),0))</f>
        <v>598</v>
      </c>
      <c r="L67" s="21" t="n">
        <f aca="false">IF(OR(K67="",K67=0,G67=""),"",G67/K67)</f>
        <v>0.348327759197324</v>
      </c>
      <c r="M67" s="22" t="n">
        <f aca="false">IF(OR(K67="",G67=""),"",K67-G67)</f>
        <v>389.7</v>
      </c>
      <c r="N67" s="24" t="n">
        <f aca="false">J67-E67</f>
        <v>20</v>
      </c>
      <c r="O67" s="25"/>
    </row>
    <row r="68" customFormat="false" ht="14.25" hidden="false" customHeight="false" outlineLevel="0" collapsed="false">
      <c r="A68" s="26" t="n">
        <v>58</v>
      </c>
      <c r="B68" s="27" t="s">
        <v>77</v>
      </c>
      <c r="C68" s="28" t="s">
        <v>92</v>
      </c>
      <c r="D68" s="38" t="s">
        <v>97</v>
      </c>
      <c r="E68" s="30" t="n">
        <v>583</v>
      </c>
      <c r="F68" s="31" t="n">
        <f aca="false">IF(E68="","",ROUND(E68/(1+$C$4),0))</f>
        <v>530</v>
      </c>
      <c r="G68" s="20" t="n">
        <v>167</v>
      </c>
      <c r="H68" s="32" t="n">
        <f aca="false">IF(OR(F68="",F68=0,G68=""),"",G68/F68)</f>
        <v>0.315094339622642</v>
      </c>
      <c r="I68" s="33" t="n">
        <f aca="false">IF(OR(F68="",G68=""),"",F68-G68)</f>
        <v>363</v>
      </c>
      <c r="J68" s="23" t="n">
        <v>603</v>
      </c>
      <c r="K68" s="31" t="n">
        <f aca="false">IF(J68="","",ROUND(J68/(1+$D$4),0))</f>
        <v>548</v>
      </c>
      <c r="L68" s="21" t="n">
        <f aca="false">IF(OR(K68="",K68=0,G68=""),"",G68/K68)</f>
        <v>0.304744525547445</v>
      </c>
      <c r="M68" s="22" t="n">
        <f aca="false">IF(OR(K68="",G68=""),"",K68-G68)</f>
        <v>381</v>
      </c>
      <c r="N68" s="34" t="n">
        <f aca="false">J68-E68</f>
        <v>20</v>
      </c>
      <c r="O68" s="39"/>
    </row>
    <row r="69" customFormat="false" ht="14.25" hidden="false" customHeight="false" outlineLevel="0" collapsed="false">
      <c r="A69" s="14" t="n">
        <v>59</v>
      </c>
      <c r="B69" s="15" t="s">
        <v>77</v>
      </c>
      <c r="C69" s="16" t="s">
        <v>92</v>
      </c>
      <c r="D69" s="17" t="s">
        <v>98</v>
      </c>
      <c r="E69" s="18" t="n">
        <v>638</v>
      </c>
      <c r="F69" s="19" t="n">
        <f aca="false">IF(E69="","",ROUND(E69/(1+$C$4),0))</f>
        <v>580</v>
      </c>
      <c r="G69" s="20" t="n">
        <v>173</v>
      </c>
      <c r="H69" s="21" t="n">
        <f aca="false">IF(OR(F69="",F69=0,G69=""),"",G69/F69)</f>
        <v>0.298275862068966</v>
      </c>
      <c r="I69" s="22" t="n">
        <f aca="false">IF(OR(F69="",G69=""),"",F69-G69)</f>
        <v>407</v>
      </c>
      <c r="J69" s="23" t="n">
        <v>658</v>
      </c>
      <c r="K69" s="19" t="n">
        <f aca="false">IF(J69="","",ROUND(J69/(1+$D$4),0))</f>
        <v>598</v>
      </c>
      <c r="L69" s="21" t="n">
        <f aca="false">IF(OR(K69="",K69=0,G69=""),"",G69/K69)</f>
        <v>0.289297658862876</v>
      </c>
      <c r="M69" s="22" t="n">
        <f aca="false">IF(OR(K69="",G69=""),"",K69-G69)</f>
        <v>425</v>
      </c>
      <c r="N69" s="24" t="n">
        <f aca="false">J69-E69</f>
        <v>20</v>
      </c>
      <c r="O69" s="25"/>
    </row>
    <row r="70" customFormat="false" ht="14.25" hidden="false" customHeight="false" outlineLevel="0" collapsed="false">
      <c r="A70" s="26" t="n">
        <v>60</v>
      </c>
      <c r="B70" s="27" t="s">
        <v>77</v>
      </c>
      <c r="C70" s="28" t="s">
        <v>92</v>
      </c>
      <c r="D70" s="38" t="s">
        <v>99</v>
      </c>
      <c r="E70" s="30" t="n">
        <v>583</v>
      </c>
      <c r="F70" s="31" t="n">
        <f aca="false">IF(E70="","",ROUND(E70/(1+$C$4),0))</f>
        <v>530</v>
      </c>
      <c r="G70" s="20" t="n">
        <v>193.1</v>
      </c>
      <c r="H70" s="32" t="n">
        <f aca="false">IF(OR(F70="",F70=0,G70=""),"",G70/F70)</f>
        <v>0.364339622641509</v>
      </c>
      <c r="I70" s="33" t="n">
        <f aca="false">IF(OR(F70="",G70=""),"",F70-G70)</f>
        <v>336.9</v>
      </c>
      <c r="J70" s="23" t="n">
        <v>603</v>
      </c>
      <c r="K70" s="31" t="n">
        <f aca="false">IF(J70="","",ROUND(J70/(1+$D$4),0))</f>
        <v>548</v>
      </c>
      <c r="L70" s="21" t="n">
        <f aca="false">IF(OR(K70="",K70=0,G70=""),"",G70/K70)</f>
        <v>0.352372262773723</v>
      </c>
      <c r="M70" s="22" t="n">
        <f aca="false">IF(OR(K70="",G70=""),"",K70-G70)</f>
        <v>354.9</v>
      </c>
      <c r="N70" s="34" t="n">
        <f aca="false">J70-E70</f>
        <v>20</v>
      </c>
      <c r="O70" s="39"/>
    </row>
    <row r="71" customFormat="false" ht="14.25" hidden="false" customHeight="false" outlineLevel="0" collapsed="false">
      <c r="A71" s="14" t="n">
        <v>61</v>
      </c>
      <c r="B71" s="15" t="s">
        <v>77</v>
      </c>
      <c r="C71" s="16" t="s">
        <v>92</v>
      </c>
      <c r="D71" s="17" t="s">
        <v>100</v>
      </c>
      <c r="E71" s="18" t="n">
        <v>583</v>
      </c>
      <c r="F71" s="19" t="n">
        <f aca="false">IF(E71="","",ROUND(E71/(1+$C$4),0))</f>
        <v>530</v>
      </c>
      <c r="G71" s="20" t="n">
        <v>160.3</v>
      </c>
      <c r="H71" s="21" t="n">
        <f aca="false">IF(OR(F71="",F71=0,G71=""),"",G71/F71)</f>
        <v>0.302452830188679</v>
      </c>
      <c r="I71" s="22" t="n">
        <f aca="false">IF(OR(F71="",G71=""),"",F71-G71)</f>
        <v>369.7</v>
      </c>
      <c r="J71" s="23" t="n">
        <v>603</v>
      </c>
      <c r="K71" s="19" t="n">
        <f aca="false">IF(J71="","",ROUND(J71/(1+$D$4),0))</f>
        <v>548</v>
      </c>
      <c r="L71" s="21" t="n">
        <f aca="false">IF(OR(K71="",K71=0,G71=""),"",G71/K71)</f>
        <v>0.292518248175183</v>
      </c>
      <c r="M71" s="22" t="n">
        <f aca="false">IF(OR(K71="",G71=""),"",K71-G71)</f>
        <v>387.7</v>
      </c>
      <c r="N71" s="24" t="n">
        <f aca="false">J71-E71</f>
        <v>20</v>
      </c>
      <c r="O71" s="25"/>
    </row>
    <row r="72" customFormat="false" ht="14.25" hidden="false" customHeight="false" outlineLevel="0" collapsed="false">
      <c r="A72" s="26" t="n">
        <v>62</v>
      </c>
      <c r="B72" s="27" t="s">
        <v>77</v>
      </c>
      <c r="C72" s="28" t="s">
        <v>92</v>
      </c>
      <c r="D72" s="29" t="s">
        <v>101</v>
      </c>
      <c r="E72" s="30" t="n">
        <v>583</v>
      </c>
      <c r="F72" s="31" t="n">
        <f aca="false">IF(E72="","",ROUND(E72/(1+$C$4),0))</f>
        <v>530</v>
      </c>
      <c r="G72" s="20" t="n">
        <v>220.9</v>
      </c>
      <c r="H72" s="32" t="n">
        <f aca="false">IF(OR(F72="",F72=0,G72=""),"",G72/F72)</f>
        <v>0.416792452830189</v>
      </c>
      <c r="I72" s="33" t="n">
        <f aca="false">IF(OR(F72="",G72=""),"",F72-G72)</f>
        <v>309.1</v>
      </c>
      <c r="J72" s="23" t="n">
        <v>603</v>
      </c>
      <c r="K72" s="31" t="n">
        <f aca="false">IF(J72="","",ROUND(J72/(1+$D$4),0))</f>
        <v>548</v>
      </c>
      <c r="L72" s="21" t="n">
        <f aca="false">IF(OR(K72="",K72=0,G72=""),"",G72/K72)</f>
        <v>0.403102189781022</v>
      </c>
      <c r="M72" s="22" t="n">
        <f aca="false">IF(OR(K72="",G72=""),"",K72-G72)</f>
        <v>327.1</v>
      </c>
      <c r="N72" s="34" t="n">
        <f aca="false">J72-E72</f>
        <v>20</v>
      </c>
      <c r="O72" s="35" t="s">
        <v>29</v>
      </c>
    </row>
    <row r="73" customFormat="false" ht="14.25" hidden="false" customHeight="false" outlineLevel="0" collapsed="false">
      <c r="A73" s="14" t="n">
        <v>63</v>
      </c>
      <c r="B73" s="15" t="s">
        <v>77</v>
      </c>
      <c r="C73" s="16" t="s">
        <v>92</v>
      </c>
      <c r="D73" s="17" t="s">
        <v>102</v>
      </c>
      <c r="E73" s="18" t="n">
        <v>858</v>
      </c>
      <c r="F73" s="19" t="n">
        <f aca="false">IF(E73="","",ROUND(E73/(1+$C$4),0))</f>
        <v>780</v>
      </c>
      <c r="G73" s="20" t="n">
        <v>238.4</v>
      </c>
      <c r="H73" s="21" t="n">
        <f aca="false">IF(OR(F73="",F73=0,G73=""),"",G73/F73)</f>
        <v>0.305641025641026</v>
      </c>
      <c r="I73" s="22" t="n">
        <f aca="false">IF(OR(F73="",G73=""),"",F73-G73)</f>
        <v>541.6</v>
      </c>
      <c r="J73" s="23" t="n">
        <v>878</v>
      </c>
      <c r="K73" s="19" t="n">
        <f aca="false">IF(J73="","",ROUND(J73/(1+$D$4),0))</f>
        <v>798</v>
      </c>
      <c r="L73" s="21" t="n">
        <f aca="false">IF(OR(K73="",K73=0,G73=""),"",G73/K73)</f>
        <v>0.29874686716792</v>
      </c>
      <c r="M73" s="22" t="n">
        <f aca="false">IF(OR(K73="",G73=""),"",K73-G73)</f>
        <v>559.6</v>
      </c>
      <c r="N73" s="24" t="n">
        <f aca="false">J73-E73</f>
        <v>20</v>
      </c>
      <c r="O73" s="25"/>
    </row>
    <row r="74" customFormat="false" ht="14.25" hidden="false" customHeight="false" outlineLevel="0" collapsed="false">
      <c r="A74" s="26" t="n">
        <v>64</v>
      </c>
      <c r="B74" s="27" t="s">
        <v>77</v>
      </c>
      <c r="C74" s="28" t="s">
        <v>92</v>
      </c>
      <c r="D74" s="38" t="s">
        <v>103</v>
      </c>
      <c r="E74" s="30" t="n">
        <v>968</v>
      </c>
      <c r="F74" s="31" t="n">
        <f aca="false">IF(E74="","",ROUND(E74/(1+$C$4),0))</f>
        <v>880</v>
      </c>
      <c r="G74" s="20" t="n">
        <v>390.3</v>
      </c>
      <c r="H74" s="32" t="n">
        <f aca="false">IF(OR(F74="",F74=0,G74=""),"",G74/F74)</f>
        <v>0.443522727272727</v>
      </c>
      <c r="I74" s="33" t="n">
        <f aca="false">IF(OR(F74="",G74=""),"",F74-G74)</f>
        <v>489.7</v>
      </c>
      <c r="J74" s="23" t="n">
        <v>988</v>
      </c>
      <c r="K74" s="31" t="n">
        <f aca="false">IF(J74="","",ROUND(J74/(1+$D$4),0))</f>
        <v>898</v>
      </c>
      <c r="L74" s="21" t="n">
        <f aca="false">IF(OR(K74="",K74=0,G74=""),"",G74/K74)</f>
        <v>0.434632516703786</v>
      </c>
      <c r="M74" s="22" t="n">
        <f aca="false">IF(OR(K74="",G74=""),"",K74-G74)</f>
        <v>507.7</v>
      </c>
      <c r="N74" s="34" t="n">
        <f aca="false">J74-E74</f>
        <v>20</v>
      </c>
      <c r="O74" s="39"/>
    </row>
    <row r="75" customFormat="false" ht="14.25" hidden="false" customHeight="false" outlineLevel="0" collapsed="false">
      <c r="A75" s="14" t="n">
        <v>65</v>
      </c>
      <c r="B75" s="15" t="s">
        <v>77</v>
      </c>
      <c r="C75" s="16" t="s">
        <v>92</v>
      </c>
      <c r="D75" s="17" t="s">
        <v>104</v>
      </c>
      <c r="E75" s="18" t="n">
        <v>748</v>
      </c>
      <c r="F75" s="19" t="n">
        <f aca="false">IF(E75="","",ROUND(E75/(1+$C$4),0))</f>
        <v>680</v>
      </c>
      <c r="G75" s="20" t="n">
        <v>304</v>
      </c>
      <c r="H75" s="21" t="n">
        <f aca="false">IF(OR(F75="",F75=0,G75=""),"",G75/F75)</f>
        <v>0.447058823529412</v>
      </c>
      <c r="I75" s="22" t="n">
        <f aca="false">IF(OR(F75="",G75=""),"",F75-G75)</f>
        <v>376</v>
      </c>
      <c r="J75" s="23" t="n">
        <v>768</v>
      </c>
      <c r="K75" s="19" t="n">
        <f aca="false">IF(J75="","",ROUND(J75/(1+$D$4),0))</f>
        <v>698</v>
      </c>
      <c r="L75" s="21" t="n">
        <f aca="false">IF(OR(K75="",K75=0,G75=""),"",G75/K75)</f>
        <v>0.435530085959885</v>
      </c>
      <c r="M75" s="22" t="n">
        <f aca="false">IF(OR(K75="",G75=""),"",K75-G75)</f>
        <v>394</v>
      </c>
      <c r="N75" s="24" t="n">
        <f aca="false">J75-E75</f>
        <v>20</v>
      </c>
      <c r="O75" s="25"/>
    </row>
    <row r="76" customFormat="false" ht="14.25" hidden="false" customHeight="false" outlineLevel="0" collapsed="false">
      <c r="A76" s="26" t="n">
        <v>66</v>
      </c>
      <c r="B76" s="27" t="s">
        <v>77</v>
      </c>
      <c r="C76" s="28" t="s">
        <v>92</v>
      </c>
      <c r="D76" s="38" t="s">
        <v>105</v>
      </c>
      <c r="E76" s="30" t="n">
        <v>418</v>
      </c>
      <c r="F76" s="31" t="n">
        <f aca="false">IF(E76="","",ROUND(E76/(1+$C$4),0))</f>
        <v>380</v>
      </c>
      <c r="G76" s="20" t="n">
        <v>88.1</v>
      </c>
      <c r="H76" s="32" t="n">
        <f aca="false">IF(OR(F76="",F76=0,G76=""),"",G76/F76)</f>
        <v>0.231842105263158</v>
      </c>
      <c r="I76" s="33" t="n">
        <f aca="false">IF(OR(F76="",G76=""),"",F76-G76)</f>
        <v>291.9</v>
      </c>
      <c r="J76" s="23" t="n">
        <v>438</v>
      </c>
      <c r="K76" s="31" t="n">
        <f aca="false">IF(J76="","",ROUND(J76/(1+$D$4),0))</f>
        <v>398</v>
      </c>
      <c r="L76" s="21" t="n">
        <f aca="false">IF(OR(K76="",K76=0,G76=""),"",G76/K76)</f>
        <v>0.221356783919598</v>
      </c>
      <c r="M76" s="22" t="n">
        <f aca="false">IF(OR(K76="",G76=""),"",K76-G76)</f>
        <v>309.9</v>
      </c>
      <c r="N76" s="34" t="n">
        <f aca="false">J76-E76</f>
        <v>20</v>
      </c>
      <c r="O76" s="39"/>
    </row>
    <row r="77" customFormat="false" ht="14.25" hidden="false" customHeight="false" outlineLevel="0" collapsed="false">
      <c r="A77" s="14" t="n">
        <v>67</v>
      </c>
      <c r="B77" s="15" t="s">
        <v>77</v>
      </c>
      <c r="C77" s="16" t="s">
        <v>106</v>
      </c>
      <c r="D77" s="17" t="s">
        <v>107</v>
      </c>
      <c r="E77" s="18" t="n">
        <v>1738</v>
      </c>
      <c r="F77" s="19" t="n">
        <f aca="false">IF(E77="","",ROUND(E77/(1+$C$4),0))</f>
        <v>1580</v>
      </c>
      <c r="G77" s="20" t="n">
        <v>493.6</v>
      </c>
      <c r="H77" s="21" t="n">
        <f aca="false">IF(OR(F77="",F77=0,G77=""),"",G77/F77)</f>
        <v>0.312405063291139</v>
      </c>
      <c r="I77" s="22" t="n">
        <f aca="false">IF(OR(F77="",G77=""),"",F77-G77)</f>
        <v>1086.4</v>
      </c>
      <c r="J77" s="23" t="n">
        <v>1768</v>
      </c>
      <c r="K77" s="19" t="n">
        <f aca="false">IF(J77="","",ROUND(J77/(1+$D$4),0))</f>
        <v>1607</v>
      </c>
      <c r="L77" s="21" t="n">
        <f aca="false">IF(OR(K77="",K77=0,G77=""),"",G77/K77)</f>
        <v>0.307156191661481</v>
      </c>
      <c r="M77" s="22" t="n">
        <f aca="false">IF(OR(K77="",G77=""),"",K77-G77)</f>
        <v>1113.4</v>
      </c>
      <c r="N77" s="24" t="n">
        <f aca="false">J77-E77</f>
        <v>30</v>
      </c>
      <c r="O77" s="41" t="s">
        <v>108</v>
      </c>
    </row>
    <row r="78" customFormat="false" ht="14.25" hidden="false" customHeight="false" outlineLevel="0" collapsed="false">
      <c r="A78" s="26" t="n">
        <v>68</v>
      </c>
      <c r="B78" s="27" t="s">
        <v>77</v>
      </c>
      <c r="C78" s="28" t="s">
        <v>106</v>
      </c>
      <c r="D78" s="38" t="s">
        <v>109</v>
      </c>
      <c r="E78" s="30" t="n">
        <v>2178</v>
      </c>
      <c r="F78" s="31" t="n">
        <f aca="false">IF(E78="","",ROUND(E78/(1+$C$4),0))</f>
        <v>1980</v>
      </c>
      <c r="G78" s="20" t="n">
        <v>645.3</v>
      </c>
      <c r="H78" s="32" t="n">
        <f aca="false">IF(OR(F78="",F78=0,G78=""),"",G78/F78)</f>
        <v>0.325909090909091</v>
      </c>
      <c r="I78" s="33" t="n">
        <f aca="false">IF(OR(F78="",G78=""),"",F78-G78)</f>
        <v>1334.7</v>
      </c>
      <c r="J78" s="23" t="n">
        <v>2208</v>
      </c>
      <c r="K78" s="31" t="n">
        <f aca="false">IF(J78="","",ROUND(J78/(1+$D$4),0))</f>
        <v>2007</v>
      </c>
      <c r="L78" s="21" t="n">
        <f aca="false">IF(OR(K78="",K78=0,G78=""),"",G78/K78)</f>
        <v>0.32152466367713</v>
      </c>
      <c r="M78" s="22" t="n">
        <f aca="false">IF(OR(K78="",G78=""),"",K78-G78)</f>
        <v>1361.7</v>
      </c>
      <c r="N78" s="34" t="n">
        <f aca="false">J78-E78</f>
        <v>30</v>
      </c>
      <c r="O78" s="39" t="s">
        <v>110</v>
      </c>
    </row>
    <row r="79" customFormat="false" ht="14.25" hidden="false" customHeight="false" outlineLevel="0" collapsed="false">
      <c r="A79" s="14" t="n">
        <v>69</v>
      </c>
      <c r="B79" s="15" t="s">
        <v>77</v>
      </c>
      <c r="C79" s="16" t="s">
        <v>106</v>
      </c>
      <c r="D79" s="17" t="s">
        <v>111</v>
      </c>
      <c r="E79" s="18" t="n">
        <v>2178</v>
      </c>
      <c r="F79" s="19" t="n">
        <f aca="false">IF(E79="","",ROUND(E79/(1+$C$4),0))</f>
        <v>1980</v>
      </c>
      <c r="G79" s="20" t="n">
        <v>692.1</v>
      </c>
      <c r="H79" s="21" t="n">
        <f aca="false">IF(OR(F79="",F79=0,G79=""),"",G79/F79)</f>
        <v>0.349545454545455</v>
      </c>
      <c r="I79" s="22" t="n">
        <f aca="false">IF(OR(F79="",G79=""),"",F79-G79)</f>
        <v>1287.9</v>
      </c>
      <c r="J79" s="23" t="n">
        <v>2208</v>
      </c>
      <c r="K79" s="19" t="n">
        <f aca="false">IF(J79="","",ROUND(J79/(1+$D$4),0))</f>
        <v>2007</v>
      </c>
      <c r="L79" s="21" t="n">
        <f aca="false">IF(OR(K79="",K79=0,G79=""),"",G79/K79)</f>
        <v>0.344843049327354</v>
      </c>
      <c r="M79" s="22" t="n">
        <f aca="false">IF(OR(K79="",G79=""),"",K79-G79)</f>
        <v>1314.9</v>
      </c>
      <c r="N79" s="24" t="n">
        <f aca="false">J79-E79</f>
        <v>30</v>
      </c>
      <c r="O79" s="25" t="s">
        <v>112</v>
      </c>
    </row>
    <row r="80" customFormat="false" ht="14.25" hidden="false" customHeight="false" outlineLevel="0" collapsed="false">
      <c r="A80" s="26" t="n">
        <v>70</v>
      </c>
      <c r="B80" s="27" t="s">
        <v>77</v>
      </c>
      <c r="C80" s="28" t="s">
        <v>113</v>
      </c>
      <c r="D80" s="38" t="s">
        <v>114</v>
      </c>
      <c r="E80" s="30" t="n">
        <v>638</v>
      </c>
      <c r="F80" s="31" t="n">
        <f aca="false">IF(E80="","",ROUND(E80/(1+$C$4),0))</f>
        <v>580</v>
      </c>
      <c r="G80" s="20" t="n">
        <v>211.4</v>
      </c>
      <c r="H80" s="32" t="n">
        <f aca="false">IF(OR(F80="",F80=0,G80=""),"",G80/F80)</f>
        <v>0.36448275862069</v>
      </c>
      <c r="I80" s="33" t="n">
        <f aca="false">IF(OR(F80="",G80=""),"",F80-G80)</f>
        <v>368.6</v>
      </c>
      <c r="J80" s="23" t="n">
        <v>658</v>
      </c>
      <c r="K80" s="31" t="n">
        <f aca="false">IF(J80="","",ROUND(J80/(1+$D$4),0))</f>
        <v>598</v>
      </c>
      <c r="L80" s="21" t="n">
        <f aca="false">IF(OR(K80="",K80=0,G80=""),"",G80/K80)</f>
        <v>0.353511705685619</v>
      </c>
      <c r="M80" s="22" t="n">
        <f aca="false">IF(OR(K80="",G80=""),"",K80-G80)</f>
        <v>386.6</v>
      </c>
      <c r="N80" s="34" t="n">
        <f aca="false">J80-E80</f>
        <v>20</v>
      </c>
      <c r="O80" s="40" t="s">
        <v>115</v>
      </c>
    </row>
    <row r="81" customFormat="false" ht="14.25" hidden="false" customHeight="false" outlineLevel="0" collapsed="false">
      <c r="A81" s="14" t="n">
        <v>71</v>
      </c>
      <c r="B81" s="15" t="s">
        <v>77</v>
      </c>
      <c r="C81" s="16" t="s">
        <v>113</v>
      </c>
      <c r="D81" s="17" t="s">
        <v>116</v>
      </c>
      <c r="E81" s="18" t="n">
        <v>638</v>
      </c>
      <c r="F81" s="19" t="n">
        <f aca="false">IF(E81="","",ROUND(E81/(1+$C$4),0))</f>
        <v>580</v>
      </c>
      <c r="G81" s="20" t="n">
        <v>189.8</v>
      </c>
      <c r="H81" s="21" t="n">
        <f aca="false">IF(OR(F81="",F81=0,G81=""),"",G81/F81)</f>
        <v>0.327241379310345</v>
      </c>
      <c r="I81" s="22" t="n">
        <f aca="false">IF(OR(F81="",G81=""),"",F81-G81)</f>
        <v>390.2</v>
      </c>
      <c r="J81" s="23" t="n">
        <v>658</v>
      </c>
      <c r="K81" s="19" t="n">
        <f aca="false">IF(J81="","",ROUND(J81/(1+$D$4),0))</f>
        <v>598</v>
      </c>
      <c r="L81" s="21" t="n">
        <f aca="false">IF(OR(K81="",K81=0,G81=""),"",G81/K81)</f>
        <v>0.317391304347826</v>
      </c>
      <c r="M81" s="22" t="n">
        <f aca="false">IF(OR(K81="",G81=""),"",K81-G81)</f>
        <v>408.2</v>
      </c>
      <c r="N81" s="24" t="n">
        <f aca="false">J81-E81</f>
        <v>20</v>
      </c>
      <c r="O81" s="25"/>
    </row>
    <row r="82" customFormat="false" ht="14.25" hidden="false" customHeight="false" outlineLevel="0" collapsed="false">
      <c r="A82" s="26" t="n">
        <v>72</v>
      </c>
      <c r="B82" s="27" t="s">
        <v>77</v>
      </c>
      <c r="C82" s="28" t="s">
        <v>113</v>
      </c>
      <c r="D82" s="38" t="s">
        <v>117</v>
      </c>
      <c r="E82" s="30" t="n">
        <v>638</v>
      </c>
      <c r="F82" s="31" t="n">
        <f aca="false">IF(E82="","",ROUND(E82/(1+$C$4),0))</f>
        <v>580</v>
      </c>
      <c r="G82" s="20" t="n">
        <v>183.8</v>
      </c>
      <c r="H82" s="32" t="n">
        <f aca="false">IF(OR(F82="",F82=0,G82=""),"",G82/F82)</f>
        <v>0.316896551724138</v>
      </c>
      <c r="I82" s="33" t="n">
        <f aca="false">IF(OR(F82="",G82=""),"",F82-G82)</f>
        <v>396.2</v>
      </c>
      <c r="J82" s="23" t="n">
        <v>658</v>
      </c>
      <c r="K82" s="31" t="n">
        <f aca="false">IF(J82="","",ROUND(J82/(1+$D$4),0))</f>
        <v>598</v>
      </c>
      <c r="L82" s="21" t="n">
        <f aca="false">IF(OR(K82="",K82=0,G82=""),"",G82/K82)</f>
        <v>0.307357859531773</v>
      </c>
      <c r="M82" s="22" t="n">
        <f aca="false">IF(OR(K82="",G82=""),"",K82-G82)</f>
        <v>414.2</v>
      </c>
      <c r="N82" s="34" t="n">
        <f aca="false">J82-E82</f>
        <v>20</v>
      </c>
      <c r="O82" s="39"/>
    </row>
    <row r="83" customFormat="false" ht="14.25" hidden="false" customHeight="false" outlineLevel="0" collapsed="false">
      <c r="A83" s="14" t="n">
        <v>73</v>
      </c>
      <c r="B83" s="15" t="s">
        <v>77</v>
      </c>
      <c r="C83" s="16" t="s">
        <v>113</v>
      </c>
      <c r="D83" s="17" t="s">
        <v>118</v>
      </c>
      <c r="E83" s="18" t="n">
        <v>638</v>
      </c>
      <c r="F83" s="19" t="n">
        <f aca="false">IF(E83="","",ROUND(E83/(1+$C$4),0))</f>
        <v>580</v>
      </c>
      <c r="G83" s="20" t="n">
        <v>186.2</v>
      </c>
      <c r="H83" s="21" t="n">
        <f aca="false">IF(OR(F83="",F83=0,G83=""),"",G83/F83)</f>
        <v>0.321034482758621</v>
      </c>
      <c r="I83" s="22" t="n">
        <f aca="false">IF(OR(F83="",G83=""),"",F83-G83)</f>
        <v>393.8</v>
      </c>
      <c r="J83" s="23" t="n">
        <v>658</v>
      </c>
      <c r="K83" s="19" t="n">
        <f aca="false">IF(J83="","",ROUND(J83/(1+$D$4),0))</f>
        <v>598</v>
      </c>
      <c r="L83" s="21" t="n">
        <f aca="false">IF(OR(K83="",K83=0,G83=""),"",G83/K83)</f>
        <v>0.311371237458194</v>
      </c>
      <c r="M83" s="22" t="n">
        <f aca="false">IF(OR(K83="",G83=""),"",K83-G83)</f>
        <v>411.8</v>
      </c>
      <c r="N83" s="24" t="n">
        <f aca="false">J83-E83</f>
        <v>20</v>
      </c>
      <c r="O83" s="25"/>
    </row>
    <row r="84" customFormat="false" ht="14.25" hidden="false" customHeight="false" outlineLevel="0" collapsed="false">
      <c r="A84" s="26" t="n">
        <v>74</v>
      </c>
      <c r="B84" s="27" t="s">
        <v>77</v>
      </c>
      <c r="C84" s="28" t="s">
        <v>113</v>
      </c>
      <c r="D84" s="38" t="s">
        <v>119</v>
      </c>
      <c r="E84" s="30" t="n">
        <v>638</v>
      </c>
      <c r="F84" s="31" t="n">
        <f aca="false">IF(E84="","",ROUND(E84/(1+$C$4),0))</f>
        <v>580</v>
      </c>
      <c r="G84" s="20" t="n">
        <v>230.6</v>
      </c>
      <c r="H84" s="32" t="n">
        <f aca="false">IF(OR(F84="",F84=0,G84=""),"",G84/F84)</f>
        <v>0.397586206896552</v>
      </c>
      <c r="I84" s="33" t="n">
        <f aca="false">IF(OR(F84="",G84=""),"",F84-G84)</f>
        <v>349.4</v>
      </c>
      <c r="J84" s="23" t="n">
        <v>658</v>
      </c>
      <c r="K84" s="31" t="n">
        <f aca="false">IF(J84="","",ROUND(J84/(1+$D$4),0))</f>
        <v>598</v>
      </c>
      <c r="L84" s="21" t="n">
        <f aca="false">IF(OR(K84="",K84=0,G84=""),"",G84/K84)</f>
        <v>0.38561872909699</v>
      </c>
      <c r="M84" s="22" t="n">
        <f aca="false">IF(OR(K84="",G84=""),"",K84-G84)</f>
        <v>367.4</v>
      </c>
      <c r="N84" s="34" t="n">
        <f aca="false">J84-E84</f>
        <v>20</v>
      </c>
      <c r="O84" s="39"/>
    </row>
    <row r="85" customFormat="false" ht="14.25" hidden="false" customHeight="false" outlineLevel="0" collapsed="false">
      <c r="A85" s="14" t="n">
        <v>75</v>
      </c>
      <c r="B85" s="15" t="s">
        <v>77</v>
      </c>
      <c r="C85" s="16" t="s">
        <v>120</v>
      </c>
      <c r="D85" s="17" t="s">
        <v>121</v>
      </c>
      <c r="E85" s="18" t="n">
        <v>1738</v>
      </c>
      <c r="F85" s="19" t="n">
        <f aca="false">IF(E85="","",ROUND(E85/(1+$C$4),0))</f>
        <v>1580</v>
      </c>
      <c r="G85" s="20" t="n">
        <v>514</v>
      </c>
      <c r="H85" s="21" t="n">
        <f aca="false">IF(OR(F85="",F85=0,G85=""),"",G85/F85)</f>
        <v>0.325316455696203</v>
      </c>
      <c r="I85" s="22" t="n">
        <f aca="false">IF(OR(F85="",G85=""),"",F85-G85)</f>
        <v>1066</v>
      </c>
      <c r="J85" s="23" t="n">
        <v>1788</v>
      </c>
      <c r="K85" s="19" t="n">
        <f aca="false">IF(J85="","",ROUND(J85/(1+$D$4),0))</f>
        <v>1625</v>
      </c>
      <c r="L85" s="21" t="n">
        <f aca="false">IF(OR(K85="",K85=0,G85=""),"",G85/K85)</f>
        <v>0.316307692307692</v>
      </c>
      <c r="M85" s="22" t="n">
        <f aca="false">IF(OR(K85="",G85=""),"",K85-G85)</f>
        <v>1111</v>
      </c>
      <c r="N85" s="24" t="n">
        <f aca="false">J85-E85</f>
        <v>50</v>
      </c>
      <c r="O85" s="25"/>
    </row>
    <row r="86" customFormat="false" ht="14.25" hidden="false" customHeight="false" outlineLevel="0" collapsed="false">
      <c r="A86" s="26" t="n">
        <v>76</v>
      </c>
      <c r="B86" s="27" t="s">
        <v>77</v>
      </c>
      <c r="C86" s="28" t="s">
        <v>120</v>
      </c>
      <c r="D86" s="38" t="s">
        <v>122</v>
      </c>
      <c r="E86" s="30" t="n">
        <v>1738</v>
      </c>
      <c r="F86" s="31" t="n">
        <f aca="false">IF(E86="","",ROUND(E86/(1+$C$4),0))</f>
        <v>1580</v>
      </c>
      <c r="G86" s="20" t="n">
        <v>550</v>
      </c>
      <c r="H86" s="32" t="n">
        <f aca="false">IF(OR(F86="",F86=0,G86=""),"",G86/F86)</f>
        <v>0.348101265822785</v>
      </c>
      <c r="I86" s="33" t="n">
        <f aca="false">IF(OR(F86="",G86=""),"",F86-G86)</f>
        <v>1030</v>
      </c>
      <c r="J86" s="23" t="n">
        <v>1788</v>
      </c>
      <c r="K86" s="31" t="n">
        <f aca="false">IF(J86="","",ROUND(J86/(1+$D$4),0))</f>
        <v>1625</v>
      </c>
      <c r="L86" s="21" t="n">
        <f aca="false">IF(OR(K86="",K86=0,G86=""),"",G86/K86)</f>
        <v>0.338461538461539</v>
      </c>
      <c r="M86" s="22" t="n">
        <f aca="false">IF(OR(K86="",G86=""),"",K86-G86)</f>
        <v>1075</v>
      </c>
      <c r="N86" s="34" t="n">
        <f aca="false">J86-E86</f>
        <v>50</v>
      </c>
      <c r="O86" s="39"/>
    </row>
    <row r="87" customFormat="false" ht="14.25" hidden="false" customHeight="false" outlineLevel="0" collapsed="false">
      <c r="A87" s="14" t="n">
        <v>77</v>
      </c>
      <c r="B87" s="15" t="s">
        <v>77</v>
      </c>
      <c r="C87" s="16" t="s">
        <v>120</v>
      </c>
      <c r="D87" s="17" t="s">
        <v>123</v>
      </c>
      <c r="E87" s="18" t="n">
        <v>1738</v>
      </c>
      <c r="F87" s="19" t="n">
        <f aca="false">IF(E87="","",ROUND(E87/(1+$C$4),0))</f>
        <v>1580</v>
      </c>
      <c r="G87" s="20" t="n">
        <v>526.2</v>
      </c>
      <c r="H87" s="21" t="n">
        <f aca="false">IF(OR(F87="",F87=0,G87=""),"",G87/F87)</f>
        <v>0.333037974683544</v>
      </c>
      <c r="I87" s="22" t="n">
        <f aca="false">IF(OR(F87="",G87=""),"",F87-G87)</f>
        <v>1053.8</v>
      </c>
      <c r="J87" s="23" t="n">
        <v>1788</v>
      </c>
      <c r="K87" s="19" t="n">
        <f aca="false">IF(J87="","",ROUND(J87/(1+$D$4),0))</f>
        <v>1625</v>
      </c>
      <c r="L87" s="21" t="n">
        <f aca="false">IF(OR(K87="",K87=0,G87=""),"",G87/K87)</f>
        <v>0.323815384615385</v>
      </c>
      <c r="M87" s="22" t="n">
        <f aca="false">IF(OR(K87="",G87=""),"",K87-G87)</f>
        <v>1098.8</v>
      </c>
      <c r="N87" s="24" t="n">
        <f aca="false">J87-E87</f>
        <v>50</v>
      </c>
      <c r="O87" s="25"/>
    </row>
    <row r="88" customFormat="false" ht="14.25" hidden="false" customHeight="false" outlineLevel="0" collapsed="false">
      <c r="A88" s="26" t="n">
        <v>78</v>
      </c>
      <c r="B88" s="27" t="s">
        <v>77</v>
      </c>
      <c r="C88" s="28" t="s">
        <v>124</v>
      </c>
      <c r="D88" s="38" t="s">
        <v>125</v>
      </c>
      <c r="E88" s="30" t="n">
        <v>1518</v>
      </c>
      <c r="F88" s="31" t="n">
        <f aca="false">IF(E88="","",ROUND(E88/(1+$C$4),0))</f>
        <v>1380</v>
      </c>
      <c r="G88" s="20" t="n">
        <v>492.4</v>
      </c>
      <c r="H88" s="32" t="n">
        <f aca="false">IF(OR(F88="",F88=0,G88=""),"",G88/F88)</f>
        <v>0.356811594202899</v>
      </c>
      <c r="I88" s="33" t="n">
        <f aca="false">IF(OR(F88="",G88=""),"",F88-G88)</f>
        <v>887.6</v>
      </c>
      <c r="J88" s="23" t="n">
        <v>1548</v>
      </c>
      <c r="K88" s="31" t="n">
        <f aca="false">IF(J88="","",ROUND(J88/(1+$D$4),0))</f>
        <v>1407</v>
      </c>
      <c r="L88" s="21" t="n">
        <f aca="false">IF(OR(K88="",K88=0,G88=""),"",G88/K88)</f>
        <v>0.349964463397299</v>
      </c>
      <c r="M88" s="22" t="n">
        <f aca="false">IF(OR(K88="",G88=""),"",K88-G88)</f>
        <v>914.6</v>
      </c>
      <c r="N88" s="34" t="n">
        <f aca="false">J88-E88</f>
        <v>30</v>
      </c>
      <c r="O88" s="40" t="s">
        <v>126</v>
      </c>
    </row>
    <row r="89" customFormat="false" ht="14.25" hidden="false" customHeight="false" outlineLevel="0" collapsed="false">
      <c r="A89" s="14" t="n">
        <v>79</v>
      </c>
      <c r="B89" s="15" t="s">
        <v>77</v>
      </c>
      <c r="C89" s="16" t="s">
        <v>124</v>
      </c>
      <c r="D89" s="17" t="s">
        <v>127</v>
      </c>
      <c r="E89" s="18" t="n">
        <v>1188</v>
      </c>
      <c r="F89" s="19" t="n">
        <f aca="false">IF(E89="","",ROUND(E89/(1+$C$4),0))</f>
        <v>1080</v>
      </c>
      <c r="G89" s="20" t="n">
        <v>360</v>
      </c>
      <c r="H89" s="21" t="n">
        <f aca="false">IF(OR(F89="",F89=0,G89=""),"",G89/F89)</f>
        <v>0.333333333333333</v>
      </c>
      <c r="I89" s="22" t="n">
        <f aca="false">IF(OR(F89="",G89=""),"",F89-G89)</f>
        <v>720</v>
      </c>
      <c r="J89" s="23" t="n">
        <v>1218</v>
      </c>
      <c r="K89" s="19" t="n">
        <f aca="false">IF(J89="","",ROUND(J89/(1+$D$4),0))</f>
        <v>1107</v>
      </c>
      <c r="L89" s="21" t="n">
        <f aca="false">IF(OR(K89="",K89=0,G89=""),"",G89/K89)</f>
        <v>0.32520325203252</v>
      </c>
      <c r="M89" s="22" t="n">
        <f aca="false">IF(OR(K89="",G89=""),"",K89-G89)</f>
        <v>747</v>
      </c>
      <c r="N89" s="24" t="n">
        <f aca="false">J89-E89</f>
        <v>30</v>
      </c>
      <c r="O89" s="25"/>
    </row>
    <row r="90" customFormat="false" ht="14.25" hidden="false" customHeight="false" outlineLevel="0" collapsed="false">
      <c r="A90" s="26" t="n">
        <v>80</v>
      </c>
      <c r="B90" s="27" t="s">
        <v>77</v>
      </c>
      <c r="C90" s="28" t="s">
        <v>124</v>
      </c>
      <c r="D90" s="38" t="s">
        <v>128</v>
      </c>
      <c r="E90" s="30" t="n">
        <v>1628</v>
      </c>
      <c r="F90" s="31" t="n">
        <f aca="false">IF(E90="","",ROUND(E90/(1+$C$4),0))</f>
        <v>1480</v>
      </c>
      <c r="G90" s="20" t="n">
        <v>483.6</v>
      </c>
      <c r="H90" s="32" t="n">
        <f aca="false">IF(OR(F90="",F90=0,G90=""),"",G90/F90)</f>
        <v>0.326756756756757</v>
      </c>
      <c r="I90" s="33" t="n">
        <f aca="false">IF(OR(F90="",G90=""),"",F90-G90)</f>
        <v>996.4</v>
      </c>
      <c r="J90" s="23" t="n">
        <v>1658</v>
      </c>
      <c r="K90" s="31" t="n">
        <f aca="false">IF(J90="","",ROUND(J90/(1+$D$4),0))</f>
        <v>1507</v>
      </c>
      <c r="L90" s="21" t="n">
        <f aca="false">IF(OR(K90="",K90=0,G90=""),"",G90/K90)</f>
        <v>0.320902455209025</v>
      </c>
      <c r="M90" s="22" t="n">
        <f aca="false">IF(OR(K90="",G90=""),"",K90-G90)</f>
        <v>1023.4</v>
      </c>
      <c r="N90" s="34" t="n">
        <f aca="false">J90-E90</f>
        <v>30</v>
      </c>
      <c r="O90" s="40" t="s">
        <v>129</v>
      </c>
    </row>
    <row r="91" customFormat="false" ht="14.25" hidden="false" customHeight="false" outlineLevel="0" collapsed="false">
      <c r="A91" s="14" t="n">
        <v>81</v>
      </c>
      <c r="B91" s="15" t="s">
        <v>77</v>
      </c>
      <c r="C91" s="16" t="s">
        <v>124</v>
      </c>
      <c r="D91" s="44" t="s">
        <v>130</v>
      </c>
      <c r="E91" s="18" t="n">
        <v>1078</v>
      </c>
      <c r="F91" s="19" t="n">
        <f aca="false">IF(E91="","",ROUND(E91/(1+$C$4),0))</f>
        <v>980</v>
      </c>
      <c r="G91" s="20" t="n">
        <v>215.3</v>
      </c>
      <c r="H91" s="21" t="n">
        <f aca="false">IF(OR(F91="",F91=0,G91=""),"",G91/F91)</f>
        <v>0.21969387755102</v>
      </c>
      <c r="I91" s="22" t="n">
        <f aca="false">IF(OR(F91="",G91=""),"",F91-G91)</f>
        <v>764.7</v>
      </c>
      <c r="J91" s="23" t="n">
        <v>1098</v>
      </c>
      <c r="K91" s="19" t="n">
        <f aca="false">IF(J91="","",ROUND(J91/(1+$D$4),0))</f>
        <v>998</v>
      </c>
      <c r="L91" s="21" t="n">
        <f aca="false">IF(OR(K91="",K91=0,G91=""),"",G91/K91)</f>
        <v>0.215731462925852</v>
      </c>
      <c r="M91" s="22" t="n">
        <f aca="false">IF(OR(K91="",G91=""),"",K91-G91)</f>
        <v>782.7</v>
      </c>
      <c r="N91" s="24" t="n">
        <f aca="false">J91-E91</f>
        <v>20</v>
      </c>
      <c r="O91" s="41" t="s">
        <v>131</v>
      </c>
    </row>
    <row r="92" customFormat="false" ht="14.25" hidden="false" customHeight="false" outlineLevel="0" collapsed="false">
      <c r="A92" s="26" t="n">
        <v>82</v>
      </c>
      <c r="B92" s="27" t="s">
        <v>77</v>
      </c>
      <c r="C92" s="28" t="s">
        <v>124</v>
      </c>
      <c r="D92" s="37" t="s">
        <v>132</v>
      </c>
      <c r="E92" s="30" t="n">
        <v>1133</v>
      </c>
      <c r="F92" s="31" t="n">
        <f aca="false">IF(E92="","",ROUND(E92/(1+$C$4),0))</f>
        <v>1030</v>
      </c>
      <c r="G92" s="20" t="n">
        <v>353.4</v>
      </c>
      <c r="H92" s="32" t="n">
        <f aca="false">IF(OR(F92="",F92=0,G92=""),"",G92/F92)</f>
        <v>0.343106796116505</v>
      </c>
      <c r="I92" s="33" t="n">
        <f aca="false">IF(OR(F92="",G92=""),"",F92-G92)</f>
        <v>676.6</v>
      </c>
      <c r="J92" s="23" t="n">
        <v>1153</v>
      </c>
      <c r="K92" s="31" t="n">
        <f aca="false">IF(J92="","",ROUND(J92/(1+$D$4),0))</f>
        <v>1048</v>
      </c>
      <c r="L92" s="21" t="n">
        <f aca="false">IF(OR(K92="",K92=0,G92=""),"",G92/K92)</f>
        <v>0.337213740458015</v>
      </c>
      <c r="M92" s="22" t="n">
        <f aca="false">IF(OR(K92="",G92=""),"",K92-G92)</f>
        <v>694.6</v>
      </c>
      <c r="N92" s="34" t="n">
        <f aca="false">J92-E92</f>
        <v>20</v>
      </c>
      <c r="O92" s="35" t="s">
        <v>29</v>
      </c>
    </row>
    <row r="93" customFormat="false" ht="14.25" hidden="false" customHeight="false" outlineLevel="0" collapsed="false">
      <c r="A93" s="14" t="n">
        <v>83</v>
      </c>
      <c r="B93" s="15" t="s">
        <v>77</v>
      </c>
      <c r="C93" s="16" t="s">
        <v>133</v>
      </c>
      <c r="D93" s="17" t="s">
        <v>134</v>
      </c>
      <c r="E93" s="18" t="n">
        <v>1188</v>
      </c>
      <c r="F93" s="19" t="n">
        <f aca="false">IF(E93="","",ROUND(E93/(1+$C$4),0))</f>
        <v>1080</v>
      </c>
      <c r="G93" s="20" t="n">
        <v>375.6</v>
      </c>
      <c r="H93" s="21" t="n">
        <f aca="false">IF(OR(F93="",F93=0,G93=""),"",G93/F93)</f>
        <v>0.347777777777778</v>
      </c>
      <c r="I93" s="22" t="n">
        <f aca="false">IF(OR(F93="",G93=""),"",F93-G93)</f>
        <v>704.4</v>
      </c>
      <c r="J93" s="23" t="n">
        <v>1208</v>
      </c>
      <c r="K93" s="19" t="n">
        <f aca="false">IF(J93="","",ROUND(J93/(1+$D$4),0))</f>
        <v>1098</v>
      </c>
      <c r="L93" s="21" t="n">
        <f aca="false">IF(OR(K93="",K93=0,G93=""),"",G93/K93)</f>
        <v>0.34207650273224</v>
      </c>
      <c r="M93" s="22" t="n">
        <f aca="false">IF(OR(K93="",G93=""),"",K93-G93)</f>
        <v>722.4</v>
      </c>
      <c r="N93" s="24" t="n">
        <f aca="false">J93-E93</f>
        <v>20</v>
      </c>
      <c r="O93" s="25"/>
    </row>
    <row r="94" customFormat="false" ht="14.25" hidden="false" customHeight="false" outlineLevel="0" collapsed="false">
      <c r="A94" s="26" t="n">
        <v>84</v>
      </c>
      <c r="B94" s="27" t="s">
        <v>77</v>
      </c>
      <c r="C94" s="28" t="s">
        <v>133</v>
      </c>
      <c r="D94" s="38" t="s">
        <v>135</v>
      </c>
      <c r="E94" s="30" t="n">
        <v>1188</v>
      </c>
      <c r="F94" s="31" t="n">
        <f aca="false">IF(E94="","",ROUND(E94/(1+$C$4),0))</f>
        <v>1080</v>
      </c>
      <c r="G94" s="20" t="n">
        <v>392.4</v>
      </c>
      <c r="H94" s="32" t="n">
        <f aca="false">IF(OR(F94="",F94=0,G94=""),"",G94/F94)</f>
        <v>0.363333333333333</v>
      </c>
      <c r="I94" s="33" t="n">
        <f aca="false">IF(OR(F94="",G94=""),"",F94-G94)</f>
        <v>687.6</v>
      </c>
      <c r="J94" s="23" t="n">
        <v>1208</v>
      </c>
      <c r="K94" s="31" t="n">
        <f aca="false">IF(J94="","",ROUND(J94/(1+$D$4),0))</f>
        <v>1098</v>
      </c>
      <c r="L94" s="21" t="n">
        <f aca="false">IF(OR(K94="",K94=0,G94=""),"",G94/K94)</f>
        <v>0.357377049180328</v>
      </c>
      <c r="M94" s="22" t="n">
        <f aca="false">IF(OR(K94="",G94=""),"",K94-G94)</f>
        <v>705.6</v>
      </c>
      <c r="N94" s="34" t="n">
        <f aca="false">J94-E94</f>
        <v>20</v>
      </c>
      <c r="O94" s="39"/>
    </row>
    <row r="95" customFormat="false" ht="14.25" hidden="false" customHeight="false" outlineLevel="0" collapsed="false">
      <c r="A95" s="14" t="n">
        <v>85</v>
      </c>
      <c r="B95" s="15" t="s">
        <v>77</v>
      </c>
      <c r="C95" s="16" t="s">
        <v>133</v>
      </c>
      <c r="D95" s="17" t="s">
        <v>136</v>
      </c>
      <c r="E95" s="18" t="n">
        <v>1188</v>
      </c>
      <c r="F95" s="19" t="n">
        <f aca="false">IF(E95="","",ROUND(E95/(1+$C$4),0))</f>
        <v>1080</v>
      </c>
      <c r="G95" s="20" t="n">
        <v>287.4</v>
      </c>
      <c r="H95" s="21" t="n">
        <f aca="false">IF(OR(F95="",F95=0,G95=""),"",G95/F95)</f>
        <v>0.266111111111111</v>
      </c>
      <c r="I95" s="22" t="n">
        <f aca="false">IF(OR(F95="",G95=""),"",F95-G95)</f>
        <v>792.6</v>
      </c>
      <c r="J95" s="23" t="n">
        <v>1208</v>
      </c>
      <c r="K95" s="19" t="n">
        <f aca="false">IF(J95="","",ROUND(J95/(1+$D$4),0))</f>
        <v>1098</v>
      </c>
      <c r="L95" s="21" t="n">
        <f aca="false">IF(OR(K95="",K95=0,G95=""),"",G95/K95)</f>
        <v>0.261748633879781</v>
      </c>
      <c r="M95" s="22" t="n">
        <f aca="false">IF(OR(K95="",G95=""),"",K95-G95)</f>
        <v>810.6</v>
      </c>
      <c r="N95" s="24" t="n">
        <f aca="false">J95-E95</f>
        <v>20</v>
      </c>
      <c r="O95" s="25"/>
    </row>
    <row r="96" customFormat="false" ht="14.25" hidden="false" customHeight="false" outlineLevel="0" collapsed="false">
      <c r="A96" s="26" t="n">
        <v>86</v>
      </c>
      <c r="B96" s="27" t="s">
        <v>77</v>
      </c>
      <c r="C96" s="28" t="s">
        <v>133</v>
      </c>
      <c r="D96" s="38" t="s">
        <v>137</v>
      </c>
      <c r="E96" s="30" t="n">
        <v>968</v>
      </c>
      <c r="F96" s="31" t="n">
        <f aca="false">IF(E96="","",ROUND(E96/(1+$C$4),0))</f>
        <v>880</v>
      </c>
      <c r="G96" s="20" t="n">
        <v>348.6</v>
      </c>
      <c r="H96" s="32" t="n">
        <f aca="false">IF(OR(F96="",F96=0,G96=""),"",G96/F96)</f>
        <v>0.396136363636364</v>
      </c>
      <c r="I96" s="33" t="n">
        <f aca="false">IF(OR(F96="",G96=""),"",F96-G96)</f>
        <v>531.4</v>
      </c>
      <c r="J96" s="23" t="n">
        <v>988</v>
      </c>
      <c r="K96" s="31" t="n">
        <f aca="false">IF(J96="","",ROUND(J96/(1+$D$4),0))</f>
        <v>898</v>
      </c>
      <c r="L96" s="21" t="n">
        <f aca="false">IF(OR(K96="",K96=0,G96=""),"",G96/K96)</f>
        <v>0.388195991091314</v>
      </c>
      <c r="M96" s="22" t="n">
        <f aca="false">IF(OR(K96="",G96=""),"",K96-G96)</f>
        <v>549.4</v>
      </c>
      <c r="N96" s="34" t="n">
        <f aca="false">J96-E96</f>
        <v>20</v>
      </c>
      <c r="O96" s="39"/>
    </row>
    <row r="97" customFormat="false" ht="14.25" hidden="false" customHeight="false" outlineLevel="0" collapsed="false">
      <c r="A97" s="14" t="n">
        <v>87</v>
      </c>
      <c r="B97" s="15" t="s">
        <v>77</v>
      </c>
      <c r="C97" s="16" t="s">
        <v>133</v>
      </c>
      <c r="D97" s="17" t="s">
        <v>138</v>
      </c>
      <c r="E97" s="18" t="n">
        <v>968</v>
      </c>
      <c r="F97" s="19" t="n">
        <f aca="false">IF(E97="","",ROUND(E97/(1+$C$4),0))</f>
        <v>880</v>
      </c>
      <c r="G97" s="20" t="n">
        <v>294</v>
      </c>
      <c r="H97" s="21" t="n">
        <f aca="false">IF(OR(F97="",F97=0,G97=""),"",G97/F97)</f>
        <v>0.334090909090909</v>
      </c>
      <c r="I97" s="22" t="n">
        <f aca="false">IF(OR(F97="",G97=""),"",F97-G97)</f>
        <v>586</v>
      </c>
      <c r="J97" s="23" t="n">
        <v>988</v>
      </c>
      <c r="K97" s="19" t="n">
        <f aca="false">IF(J97="","",ROUND(J97/(1+$D$4),0))</f>
        <v>898</v>
      </c>
      <c r="L97" s="21" t="n">
        <f aca="false">IF(OR(K97="",K97=0,G97=""),"",G97/K97)</f>
        <v>0.32739420935412</v>
      </c>
      <c r="M97" s="22" t="n">
        <f aca="false">IF(OR(K97="",G97=""),"",K97-G97)</f>
        <v>604</v>
      </c>
      <c r="N97" s="24" t="n">
        <f aca="false">J97-E97</f>
        <v>20</v>
      </c>
      <c r="O97" s="25"/>
    </row>
    <row r="98" customFormat="false" ht="14.25" hidden="false" customHeight="false" outlineLevel="0" collapsed="false">
      <c r="A98" s="26" t="n">
        <v>88</v>
      </c>
      <c r="B98" s="27" t="s">
        <v>77</v>
      </c>
      <c r="C98" s="28" t="s">
        <v>139</v>
      </c>
      <c r="D98" s="29" t="s">
        <v>140</v>
      </c>
      <c r="E98" s="30" t="n">
        <v>2178</v>
      </c>
      <c r="F98" s="31" t="n">
        <f aca="false">IF(E98="","",ROUND(E98/(1+$C$4),0))</f>
        <v>1980</v>
      </c>
      <c r="G98" s="20" t="n">
        <v>810</v>
      </c>
      <c r="H98" s="32" t="n">
        <f aca="false">IF(OR(F98="",F98=0,G98=""),"",G98/F98)</f>
        <v>0.409090909090909</v>
      </c>
      <c r="I98" s="33" t="n">
        <f aca="false">IF(OR(F98="",G98=""),"",F98-G98)</f>
        <v>1170</v>
      </c>
      <c r="J98" s="23" t="n">
        <v>2228</v>
      </c>
      <c r="K98" s="31" t="n">
        <f aca="false">IF(J98="","",ROUND(J98/(1+$D$4),0))</f>
        <v>2025</v>
      </c>
      <c r="L98" s="21" t="n">
        <f aca="false">IF(OR(K98="",K98=0,G98=""),"",G98/K98)</f>
        <v>0.4</v>
      </c>
      <c r="M98" s="22" t="n">
        <f aca="false">IF(OR(K98="",G98=""),"",K98-G98)</f>
        <v>1215</v>
      </c>
      <c r="N98" s="34" t="n">
        <f aca="false">J98-E98</f>
        <v>50</v>
      </c>
      <c r="O98" s="35" t="s">
        <v>29</v>
      </c>
    </row>
    <row r="99" customFormat="false" ht="14.25" hidden="false" customHeight="false" outlineLevel="0" collapsed="false">
      <c r="A99" s="14" t="n">
        <v>89</v>
      </c>
      <c r="B99" s="15" t="s">
        <v>77</v>
      </c>
      <c r="C99" s="16" t="s">
        <v>139</v>
      </c>
      <c r="D99" s="29" t="s">
        <v>141</v>
      </c>
      <c r="E99" s="18" t="n">
        <v>1078</v>
      </c>
      <c r="F99" s="19" t="n">
        <f aca="false">IF(E99="","",ROUND(E99/(1+$C$4),0))</f>
        <v>980</v>
      </c>
      <c r="G99" s="20" t="n">
        <v>371.3</v>
      </c>
      <c r="H99" s="21" t="n">
        <f aca="false">IF(OR(F99="",F99=0,G99=""),"",G99/F99)</f>
        <v>0.378877551020408</v>
      </c>
      <c r="I99" s="22" t="n">
        <f aca="false">IF(OR(F99="",G99=""),"",F99-G99)</f>
        <v>608.7</v>
      </c>
      <c r="J99" s="23" t="n">
        <v>1128</v>
      </c>
      <c r="K99" s="19" t="n">
        <f aca="false">IF(J99="","",ROUND(J99/(1+$D$4),0))</f>
        <v>1025</v>
      </c>
      <c r="L99" s="21" t="n">
        <f aca="false">IF(OR(K99="",K99=0,G99=""),"",G99/K99)</f>
        <v>0.362243902439024</v>
      </c>
      <c r="M99" s="22" t="n">
        <f aca="false">IF(OR(K99="",G99=""),"",K99-G99)</f>
        <v>653.7</v>
      </c>
      <c r="N99" s="24" t="n">
        <f aca="false">J99-E99</f>
        <v>50</v>
      </c>
      <c r="O99" s="36" t="s">
        <v>29</v>
      </c>
    </row>
    <row r="100" customFormat="false" ht="14.25" hidden="false" customHeight="false" outlineLevel="0" collapsed="false">
      <c r="A100" s="26" t="n">
        <v>90</v>
      </c>
      <c r="B100" s="27" t="s">
        <v>77</v>
      </c>
      <c r="C100" s="28" t="s">
        <v>139</v>
      </c>
      <c r="D100" s="29" t="s">
        <v>142</v>
      </c>
      <c r="E100" s="30" t="n">
        <v>1848</v>
      </c>
      <c r="F100" s="31" t="n">
        <f aca="false">IF(E100="","",ROUND(E100/(1+$C$4),0))</f>
        <v>1680</v>
      </c>
      <c r="G100" s="20" t="n">
        <v>639.7</v>
      </c>
      <c r="H100" s="32" t="n">
        <f aca="false">IF(OR(F100="",F100=0,G100=""),"",G100/F100)</f>
        <v>0.38077380952381</v>
      </c>
      <c r="I100" s="33" t="n">
        <f aca="false">IF(OR(F100="",G100=""),"",F100-G100)</f>
        <v>1040.3</v>
      </c>
      <c r="J100" s="23" t="n">
        <v>1898</v>
      </c>
      <c r="K100" s="31" t="n">
        <f aca="false">IF(J100="","",ROUND(J100/(1+$D$4),0))</f>
        <v>1725</v>
      </c>
      <c r="L100" s="21" t="n">
        <f aca="false">IF(OR(K100="",K100=0,G100=""),"",G100/K100)</f>
        <v>0.370840579710145</v>
      </c>
      <c r="M100" s="22" t="n">
        <f aca="false">IF(OR(K100="",G100=""),"",K100-G100)</f>
        <v>1085.3</v>
      </c>
      <c r="N100" s="34" t="n">
        <f aca="false">J100-E100</f>
        <v>50</v>
      </c>
      <c r="O100" s="35" t="s">
        <v>29</v>
      </c>
    </row>
    <row r="101" customFormat="false" ht="14.25" hidden="false" customHeight="false" outlineLevel="0" collapsed="false">
      <c r="A101" s="14" t="n">
        <v>91</v>
      </c>
      <c r="B101" s="15" t="s">
        <v>77</v>
      </c>
      <c r="C101" s="16" t="s">
        <v>139</v>
      </c>
      <c r="D101" s="17" t="s">
        <v>143</v>
      </c>
      <c r="E101" s="18" t="n">
        <v>1408</v>
      </c>
      <c r="F101" s="19" t="n">
        <f aca="false">IF(E101="","",ROUND(E101/(1+$C$4),0))</f>
        <v>1280</v>
      </c>
      <c r="G101" s="20" t="n">
        <v>551.5</v>
      </c>
      <c r="H101" s="21" t="n">
        <f aca="false">IF(OR(F101="",F101=0,G101=""),"",G101/F101)</f>
        <v>0.430859375</v>
      </c>
      <c r="I101" s="22" t="n">
        <f aca="false">IF(OR(F101="",G101=""),"",F101-G101)</f>
        <v>728.5</v>
      </c>
      <c r="J101" s="23" t="n">
        <v>1458</v>
      </c>
      <c r="K101" s="19" t="n">
        <f aca="false">IF(J101="","",ROUND(J101/(1+$D$4),0))</f>
        <v>1325</v>
      </c>
      <c r="L101" s="21" t="n">
        <f aca="false">IF(OR(K101="",K101=0,G101=""),"",G101/K101)</f>
        <v>0.41622641509434</v>
      </c>
      <c r="M101" s="22" t="n">
        <f aca="false">IF(OR(K101="",G101=""),"",K101-G101)</f>
        <v>773.5</v>
      </c>
      <c r="N101" s="24" t="n">
        <f aca="false">J101-E101</f>
        <v>50</v>
      </c>
      <c r="O101" s="25"/>
    </row>
    <row r="102" customFormat="false" ht="14.25" hidden="false" customHeight="false" outlineLevel="0" collapsed="false">
      <c r="A102" s="26" t="n">
        <v>92</v>
      </c>
      <c r="B102" s="27" t="s">
        <v>77</v>
      </c>
      <c r="C102" s="28" t="s">
        <v>139</v>
      </c>
      <c r="D102" s="38" t="s">
        <v>144</v>
      </c>
      <c r="E102" s="30" t="n">
        <v>1188</v>
      </c>
      <c r="F102" s="31" t="n">
        <f aca="false">IF(E102="","",ROUND(E102/(1+$C$4),0))</f>
        <v>1080</v>
      </c>
      <c r="G102" s="20" t="n">
        <v>434.2</v>
      </c>
      <c r="H102" s="32" t="n">
        <f aca="false">IF(OR(F102="",F102=0,G102=""),"",G102/F102)</f>
        <v>0.402037037037037</v>
      </c>
      <c r="I102" s="33" t="n">
        <f aca="false">IF(OR(F102="",G102=""),"",F102-G102)</f>
        <v>645.8</v>
      </c>
      <c r="J102" s="23" t="n">
        <v>1238</v>
      </c>
      <c r="K102" s="31" t="n">
        <f aca="false">IF(J102="","",ROUND(J102/(1+$D$4),0))</f>
        <v>1125</v>
      </c>
      <c r="L102" s="21" t="n">
        <f aca="false">IF(OR(K102="",K102=0,G102=""),"",G102/K102)</f>
        <v>0.385955555555556</v>
      </c>
      <c r="M102" s="22" t="n">
        <f aca="false">IF(OR(K102="",G102=""),"",K102-G102)</f>
        <v>690.8</v>
      </c>
      <c r="N102" s="34" t="n">
        <f aca="false">J102-E102</f>
        <v>50</v>
      </c>
      <c r="O102" s="39"/>
    </row>
    <row r="103" customFormat="false" ht="14.25" hidden="false" customHeight="false" outlineLevel="0" collapsed="false">
      <c r="A103" s="14" t="n">
        <v>93</v>
      </c>
      <c r="B103" s="15" t="s">
        <v>77</v>
      </c>
      <c r="C103" s="16" t="s">
        <v>145</v>
      </c>
      <c r="D103" s="17" t="s">
        <v>146</v>
      </c>
      <c r="E103" s="18" t="n">
        <v>1518</v>
      </c>
      <c r="F103" s="19" t="n">
        <f aca="false">IF(E103="","",ROUND(E103/(1+$C$4),0))</f>
        <v>1380</v>
      </c>
      <c r="G103" s="20" t="n">
        <v>576.88</v>
      </c>
      <c r="H103" s="21" t="n">
        <f aca="false">IF(OR(F103="",F103=0,G103=""),"",G103/F103)</f>
        <v>0.418028985507246</v>
      </c>
      <c r="I103" s="22" t="n">
        <f aca="false">IF(OR(F103="",G103=""),"",F103-G103)</f>
        <v>803.12</v>
      </c>
      <c r="J103" s="23" t="n">
        <v>1568</v>
      </c>
      <c r="K103" s="19" t="n">
        <f aca="false">IF(J103="","",ROUND(J103/(1+$D$4),0))</f>
        <v>1425</v>
      </c>
      <c r="L103" s="21" t="n">
        <f aca="false">IF(OR(K103="",K103=0,G103=""),"",G103/K103)</f>
        <v>0.404828070175439</v>
      </c>
      <c r="M103" s="22" t="n">
        <f aca="false">IF(OR(K103="",G103=""),"",K103-G103)</f>
        <v>848.12</v>
      </c>
      <c r="N103" s="24" t="n">
        <f aca="false">J103-E103</f>
        <v>50</v>
      </c>
      <c r="O103" s="25" t="s">
        <v>147</v>
      </c>
    </row>
    <row r="104" customFormat="false" ht="14.25" hidden="false" customHeight="false" outlineLevel="0" collapsed="false">
      <c r="A104" s="26" t="n">
        <v>94</v>
      </c>
      <c r="B104" s="27" t="s">
        <v>77</v>
      </c>
      <c r="C104" s="28" t="s">
        <v>145</v>
      </c>
      <c r="D104" s="38" t="s">
        <v>148</v>
      </c>
      <c r="E104" s="30" t="n">
        <v>1408</v>
      </c>
      <c r="F104" s="31" t="n">
        <f aca="false">IF(E104="","",ROUND(E104/(1+$C$4),0))</f>
        <v>1280</v>
      </c>
      <c r="G104" s="20" t="n">
        <v>454.9</v>
      </c>
      <c r="H104" s="32" t="n">
        <f aca="false">IF(OR(F104="",F104=0,G104=""),"",G104/F104)</f>
        <v>0.355390625</v>
      </c>
      <c r="I104" s="33" t="n">
        <f aca="false">IF(OR(F104="",G104=""),"",F104-G104)</f>
        <v>825.1</v>
      </c>
      <c r="J104" s="23" t="n">
        <v>1458</v>
      </c>
      <c r="K104" s="31" t="n">
        <f aca="false">IF(J104="","",ROUND(J104/(1+$D$4),0))</f>
        <v>1325</v>
      </c>
      <c r="L104" s="21" t="n">
        <f aca="false">IF(OR(K104="",K104=0,G104=""),"",G104/K104)</f>
        <v>0.343320754716981</v>
      </c>
      <c r="M104" s="22" t="n">
        <f aca="false">IF(OR(K104="",G104=""),"",K104-G104)</f>
        <v>870.1</v>
      </c>
      <c r="N104" s="34" t="n">
        <f aca="false">J104-E104</f>
        <v>50</v>
      </c>
      <c r="O104" s="39" t="s">
        <v>149</v>
      </c>
    </row>
    <row r="105" customFormat="false" ht="14.25" hidden="false" customHeight="false" outlineLevel="0" collapsed="false">
      <c r="A105" s="14" t="n">
        <v>95</v>
      </c>
      <c r="B105" s="15" t="s">
        <v>77</v>
      </c>
      <c r="C105" s="16" t="s">
        <v>145</v>
      </c>
      <c r="D105" s="17" t="s">
        <v>150</v>
      </c>
      <c r="E105" s="18" t="n">
        <v>1408</v>
      </c>
      <c r="F105" s="19" t="n">
        <f aca="false">IF(E105="","",ROUND(E105/(1+$C$4),0))</f>
        <v>1280</v>
      </c>
      <c r="G105" s="20" t="n">
        <v>343.7</v>
      </c>
      <c r="H105" s="21" t="n">
        <f aca="false">IF(OR(F105="",F105=0,G105=""),"",G105/F105)</f>
        <v>0.268515625</v>
      </c>
      <c r="I105" s="22" t="n">
        <f aca="false">IF(OR(F105="",G105=""),"",F105-G105)</f>
        <v>936.3</v>
      </c>
      <c r="J105" s="23" t="n">
        <v>1458</v>
      </c>
      <c r="K105" s="19" t="n">
        <f aca="false">IF(J105="","",ROUND(J105/(1+$D$4),0))</f>
        <v>1325</v>
      </c>
      <c r="L105" s="21" t="n">
        <f aca="false">IF(OR(K105="",K105=0,G105=""),"",G105/K105)</f>
        <v>0.259396226415094</v>
      </c>
      <c r="M105" s="22" t="n">
        <f aca="false">IF(OR(K105="",G105=""),"",K105-G105)</f>
        <v>981.3</v>
      </c>
      <c r="N105" s="24" t="n">
        <f aca="false">J105-E105</f>
        <v>50</v>
      </c>
      <c r="O105" s="41" t="s">
        <v>151</v>
      </c>
    </row>
    <row r="106" customFormat="false" ht="14.25" hidden="false" customHeight="false" outlineLevel="0" collapsed="false">
      <c r="A106" s="26" t="n">
        <v>96</v>
      </c>
      <c r="B106" s="27" t="s">
        <v>77</v>
      </c>
      <c r="C106" s="28" t="s">
        <v>152</v>
      </c>
      <c r="D106" s="29" t="s">
        <v>153</v>
      </c>
      <c r="E106" s="30" t="n">
        <v>858</v>
      </c>
      <c r="F106" s="31" t="n">
        <f aca="false">IF(E106="","",ROUND(E106/(1+$C$4),0))</f>
        <v>780</v>
      </c>
      <c r="G106" s="20" t="n">
        <v>194.3</v>
      </c>
      <c r="H106" s="32" t="n">
        <f aca="false">IF(OR(F106="",F106=0,G106=""),"",G106/F106)</f>
        <v>0.249102564102564</v>
      </c>
      <c r="I106" s="33" t="n">
        <f aca="false">IF(OR(F106="",G106=""),"",F106-G106)</f>
        <v>585.7</v>
      </c>
      <c r="J106" s="23" t="n">
        <v>888</v>
      </c>
      <c r="K106" s="31" t="n">
        <f aca="false">IF(J106="","",ROUND(J106/(1+$D$4),0))</f>
        <v>807</v>
      </c>
      <c r="L106" s="21" t="n">
        <f aca="false">IF(OR(K106="",K106=0,G106=""),"",G106/K106)</f>
        <v>0.240768277571252</v>
      </c>
      <c r="M106" s="22" t="n">
        <f aca="false">IF(OR(K106="",G106=""),"",K106-G106)</f>
        <v>612.7</v>
      </c>
      <c r="N106" s="34" t="n">
        <f aca="false">J106-E106</f>
        <v>30</v>
      </c>
      <c r="O106" s="35" t="s">
        <v>29</v>
      </c>
    </row>
    <row r="107" customFormat="false" ht="14.25" hidden="false" customHeight="false" outlineLevel="0" collapsed="false">
      <c r="A107" s="14" t="n">
        <v>97</v>
      </c>
      <c r="B107" s="15" t="s">
        <v>77</v>
      </c>
      <c r="C107" s="16" t="s">
        <v>152</v>
      </c>
      <c r="D107" s="29" t="s">
        <v>154</v>
      </c>
      <c r="E107" s="18" t="n">
        <v>858</v>
      </c>
      <c r="F107" s="19" t="n">
        <f aca="false">IF(E107="","",ROUND(E107/(1+$C$4),0))</f>
        <v>780</v>
      </c>
      <c r="G107" s="20" t="n">
        <v>267.3</v>
      </c>
      <c r="H107" s="21" t="n">
        <f aca="false">IF(OR(F107="",F107=0,G107=""),"",G107/F107)</f>
        <v>0.342692307692308</v>
      </c>
      <c r="I107" s="22" t="n">
        <f aca="false">IF(OR(F107="",G107=""),"",F107-G107)</f>
        <v>512.7</v>
      </c>
      <c r="J107" s="23" t="n">
        <v>888</v>
      </c>
      <c r="K107" s="19" t="n">
        <f aca="false">IF(J107="","",ROUND(J107/(1+$D$4),0))</f>
        <v>807</v>
      </c>
      <c r="L107" s="21" t="n">
        <f aca="false">IF(OR(K107="",K107=0,G107=""),"",G107/K107)</f>
        <v>0.331226765799257</v>
      </c>
      <c r="M107" s="22" t="n">
        <f aca="false">IF(OR(K107="",G107=""),"",K107-G107)</f>
        <v>539.7</v>
      </c>
      <c r="N107" s="24" t="n">
        <f aca="false">J107-E107</f>
        <v>30</v>
      </c>
      <c r="O107" s="36" t="s">
        <v>29</v>
      </c>
    </row>
    <row r="108" customFormat="false" ht="14.25" hidden="false" customHeight="false" outlineLevel="0" collapsed="false">
      <c r="A108" s="26" t="n">
        <v>98</v>
      </c>
      <c r="B108" s="27" t="s">
        <v>77</v>
      </c>
      <c r="C108" s="28" t="s">
        <v>152</v>
      </c>
      <c r="D108" s="29" t="s">
        <v>155</v>
      </c>
      <c r="E108" s="30" t="n">
        <v>858</v>
      </c>
      <c r="F108" s="31" t="n">
        <f aca="false">IF(E108="","",ROUND(E108/(1+$C$4),0))</f>
        <v>780</v>
      </c>
      <c r="G108" s="20" t="n">
        <v>366.6</v>
      </c>
      <c r="H108" s="32" t="n">
        <f aca="false">IF(OR(F108="",F108=0,G108=""),"",G108/F108)</f>
        <v>0.47</v>
      </c>
      <c r="I108" s="33" t="n">
        <f aca="false">IF(OR(F108="",G108=""),"",F108-G108)</f>
        <v>413.4</v>
      </c>
      <c r="J108" s="23" t="n">
        <v>888</v>
      </c>
      <c r="K108" s="31" t="n">
        <f aca="false">IF(J108="","",ROUND(J108/(1+$D$4),0))</f>
        <v>807</v>
      </c>
      <c r="L108" s="21" t="n">
        <f aca="false">IF(OR(K108="",K108=0,G108=""),"",G108/K108)</f>
        <v>0.454275092936803</v>
      </c>
      <c r="M108" s="22" t="n">
        <f aca="false">IF(OR(K108="",G108=""),"",K108-G108)</f>
        <v>440.4</v>
      </c>
      <c r="N108" s="34" t="n">
        <f aca="false">J108-E108</f>
        <v>30</v>
      </c>
      <c r="O108" s="35" t="s">
        <v>29</v>
      </c>
    </row>
    <row r="109" customFormat="false" ht="14.25" hidden="false" customHeight="false" outlineLevel="0" collapsed="false">
      <c r="A109" s="14" t="n">
        <v>99</v>
      </c>
      <c r="B109" s="15" t="s">
        <v>77</v>
      </c>
      <c r="C109" s="16" t="s">
        <v>152</v>
      </c>
      <c r="D109" s="29" t="s">
        <v>156</v>
      </c>
      <c r="E109" s="18" t="n">
        <v>858</v>
      </c>
      <c r="F109" s="19" t="n">
        <f aca="false">IF(E109="","",ROUND(E109/(1+$C$4),0))</f>
        <v>780</v>
      </c>
      <c r="G109" s="20" t="n">
        <v>270.1</v>
      </c>
      <c r="H109" s="21" t="n">
        <f aca="false">IF(OR(F109="",F109=0,G109=""),"",G109/F109)</f>
        <v>0.346282051282051</v>
      </c>
      <c r="I109" s="22" t="n">
        <f aca="false">IF(OR(F109="",G109=""),"",F109-G109)</f>
        <v>509.9</v>
      </c>
      <c r="J109" s="23" t="n">
        <v>888</v>
      </c>
      <c r="K109" s="19" t="n">
        <f aca="false">IF(J109="","",ROUND(J109/(1+$D$4),0))</f>
        <v>807</v>
      </c>
      <c r="L109" s="21" t="n">
        <f aca="false">IF(OR(K109="",K109=0,G109=""),"",G109/K109)</f>
        <v>0.334696406443618</v>
      </c>
      <c r="M109" s="22" t="n">
        <f aca="false">IF(OR(K109="",G109=""),"",K109-G109)</f>
        <v>536.9</v>
      </c>
      <c r="N109" s="24" t="n">
        <f aca="false">J109-E109</f>
        <v>30</v>
      </c>
      <c r="O109" s="36" t="s">
        <v>29</v>
      </c>
    </row>
    <row r="110" customFormat="false" ht="14.25" hidden="false" customHeight="false" outlineLevel="0" collapsed="false">
      <c r="A110" s="26" t="n">
        <v>100</v>
      </c>
      <c r="B110" s="27" t="s">
        <v>77</v>
      </c>
      <c r="C110" s="28" t="s">
        <v>157</v>
      </c>
      <c r="D110" s="38" t="s">
        <v>158</v>
      </c>
      <c r="E110" s="30" t="n">
        <v>308</v>
      </c>
      <c r="F110" s="31" t="n">
        <f aca="false">IF(E110="","",ROUND(E110/(1+$C$4),0))</f>
        <v>280</v>
      </c>
      <c r="G110" s="20" t="n">
        <v>65.7</v>
      </c>
      <c r="H110" s="32" t="n">
        <f aca="false">IF(OR(F110="",F110=0,G110=""),"",G110/F110)</f>
        <v>0.234642857142857</v>
      </c>
      <c r="I110" s="33" t="n">
        <f aca="false">IF(OR(F110="",G110=""),"",F110-G110)</f>
        <v>214.3</v>
      </c>
      <c r="J110" s="23" t="n">
        <v>328</v>
      </c>
      <c r="K110" s="31" t="n">
        <f aca="false">IF(J110="","",ROUND(J110/(1+$D$4),0))</f>
        <v>298</v>
      </c>
      <c r="L110" s="21" t="n">
        <f aca="false">IF(OR(K110="",K110=0,G110=""),"",G110/K110)</f>
        <v>0.220469798657718</v>
      </c>
      <c r="M110" s="22" t="n">
        <f aca="false">IF(OR(K110="",G110=""),"",K110-G110)</f>
        <v>232.3</v>
      </c>
      <c r="N110" s="34" t="n">
        <f aca="false">J110-E110</f>
        <v>20</v>
      </c>
      <c r="O110" s="39"/>
    </row>
    <row r="111" customFormat="false" ht="14.25" hidden="false" customHeight="false" outlineLevel="0" collapsed="false">
      <c r="A111" s="14" t="n">
        <v>101</v>
      </c>
      <c r="B111" s="15" t="s">
        <v>77</v>
      </c>
      <c r="C111" s="16" t="s">
        <v>157</v>
      </c>
      <c r="D111" s="17" t="s">
        <v>159</v>
      </c>
      <c r="E111" s="18" t="n">
        <v>418</v>
      </c>
      <c r="F111" s="19" t="n">
        <f aca="false">IF(E111="","",ROUND(E111/(1+$C$4),0))</f>
        <v>380</v>
      </c>
      <c r="G111" s="20" t="n">
        <v>76.7</v>
      </c>
      <c r="H111" s="21" t="n">
        <f aca="false">IF(OR(F111="",F111=0,G111=""),"",G111/F111)</f>
        <v>0.201842105263158</v>
      </c>
      <c r="I111" s="22" t="n">
        <f aca="false">IF(OR(F111="",G111=""),"",F111-G111)</f>
        <v>303.3</v>
      </c>
      <c r="J111" s="23" t="n">
        <v>438</v>
      </c>
      <c r="K111" s="19" t="n">
        <f aca="false">IF(J111="","",ROUND(J111/(1+$D$4),0))</f>
        <v>398</v>
      </c>
      <c r="L111" s="21" t="n">
        <f aca="false">IF(OR(K111="",K111=0,G111=""),"",G111/K111)</f>
        <v>0.192713567839196</v>
      </c>
      <c r="M111" s="22" t="n">
        <f aca="false">IF(OR(K111="",G111=""),"",K111-G111)</f>
        <v>321.3</v>
      </c>
      <c r="N111" s="24" t="n">
        <f aca="false">J111-E111</f>
        <v>20</v>
      </c>
      <c r="O111" s="25"/>
    </row>
    <row r="112" customFormat="false" ht="14.25" hidden="false" customHeight="false" outlineLevel="0" collapsed="false">
      <c r="A112" s="26" t="n">
        <v>102</v>
      </c>
      <c r="B112" s="27" t="s">
        <v>77</v>
      </c>
      <c r="C112" s="28" t="s">
        <v>157</v>
      </c>
      <c r="D112" s="29" t="s">
        <v>160</v>
      </c>
      <c r="E112" s="30" t="n">
        <v>165</v>
      </c>
      <c r="F112" s="31" t="n">
        <f aca="false">IF(E112="","",ROUND(E112/(1+$C$4),0))</f>
        <v>150</v>
      </c>
      <c r="G112" s="20" t="n">
        <v>84</v>
      </c>
      <c r="H112" s="32" t="n">
        <f aca="false">IF(OR(F112="",F112=0,G112=""),"",G112/F112)</f>
        <v>0.56</v>
      </c>
      <c r="I112" s="33" t="n">
        <f aca="false">IF(OR(F112="",G112=""),"",F112-G112)</f>
        <v>66</v>
      </c>
      <c r="J112" s="23" t="n">
        <v>185</v>
      </c>
      <c r="K112" s="31" t="n">
        <f aca="false">IF(J112="","",ROUND(J112/(1+$D$4),0))</f>
        <v>168</v>
      </c>
      <c r="L112" s="21" t="n">
        <f aca="false">IF(OR(K112="",K112=0,G112=""),"",G112/K112)</f>
        <v>0.5</v>
      </c>
      <c r="M112" s="22" t="n">
        <f aca="false">IF(OR(K112="",G112=""),"",K112-G112)</f>
        <v>84</v>
      </c>
      <c r="N112" s="34" t="n">
        <f aca="false">J112-E112</f>
        <v>20</v>
      </c>
      <c r="O112" s="35" t="s">
        <v>29</v>
      </c>
    </row>
    <row r="113" customFormat="false" ht="14.25" hidden="false" customHeight="false" outlineLevel="0" collapsed="false">
      <c r="A113" s="14" t="n">
        <v>103</v>
      </c>
      <c r="B113" s="15" t="s">
        <v>77</v>
      </c>
      <c r="C113" s="16" t="s">
        <v>157</v>
      </c>
      <c r="D113" s="17" t="s">
        <v>161</v>
      </c>
      <c r="E113" s="18" t="n">
        <v>308</v>
      </c>
      <c r="F113" s="19" t="n">
        <f aca="false">IF(E113="","",ROUND(E113/(1+$C$4),0))</f>
        <v>280</v>
      </c>
      <c r="G113" s="20" t="n">
        <v>133.1</v>
      </c>
      <c r="H113" s="21" t="n">
        <f aca="false">IF(OR(F113="",F113=0,G113=""),"",G113/F113)</f>
        <v>0.475357142857143</v>
      </c>
      <c r="I113" s="22" t="n">
        <f aca="false">IF(OR(F113="",G113=""),"",F113-G113)</f>
        <v>146.9</v>
      </c>
      <c r="J113" s="23" t="n">
        <v>328</v>
      </c>
      <c r="K113" s="19" t="n">
        <f aca="false">IF(J113="","",ROUND(J113/(1+$D$4),0))</f>
        <v>298</v>
      </c>
      <c r="L113" s="21" t="n">
        <f aca="false">IF(OR(K113="",K113=0,G113=""),"",G113/K113)</f>
        <v>0.446644295302013</v>
      </c>
      <c r="M113" s="22" t="n">
        <f aca="false">IF(OR(K113="",G113=""),"",K113-G113)</f>
        <v>164.9</v>
      </c>
      <c r="N113" s="24" t="n">
        <f aca="false">J113-E113</f>
        <v>20</v>
      </c>
      <c r="O113" s="25"/>
    </row>
    <row r="114" customFormat="false" ht="14.25" hidden="false" customHeight="false" outlineLevel="0" collapsed="false">
      <c r="A114" s="26" t="n">
        <v>104</v>
      </c>
      <c r="B114" s="27" t="s">
        <v>77</v>
      </c>
      <c r="C114" s="28" t="s">
        <v>157</v>
      </c>
      <c r="D114" s="38" t="s">
        <v>162</v>
      </c>
      <c r="E114" s="30" t="n">
        <v>418</v>
      </c>
      <c r="F114" s="31" t="n">
        <f aca="false">IF(E114="","",ROUND(E114/(1+$C$4),0))</f>
        <v>380</v>
      </c>
      <c r="G114" s="20" t="n">
        <v>145.1</v>
      </c>
      <c r="H114" s="32" t="n">
        <f aca="false">IF(OR(F114="",F114=0,G114=""),"",G114/F114)</f>
        <v>0.381842105263158</v>
      </c>
      <c r="I114" s="33" t="n">
        <f aca="false">IF(OR(F114="",G114=""),"",F114-G114)</f>
        <v>234.9</v>
      </c>
      <c r="J114" s="23" t="n">
        <v>438</v>
      </c>
      <c r="K114" s="31" t="n">
        <f aca="false">IF(J114="","",ROUND(J114/(1+$D$4),0))</f>
        <v>398</v>
      </c>
      <c r="L114" s="21" t="n">
        <f aca="false">IF(OR(K114="",K114=0,G114=""),"",G114/K114)</f>
        <v>0.364572864321608</v>
      </c>
      <c r="M114" s="22" t="n">
        <f aca="false">IF(OR(K114="",G114=""),"",K114-G114)</f>
        <v>252.9</v>
      </c>
      <c r="N114" s="34" t="n">
        <f aca="false">J114-E114</f>
        <v>20</v>
      </c>
      <c r="O114" s="39"/>
    </row>
    <row r="115" customFormat="false" ht="14.25" hidden="false" customHeight="false" outlineLevel="0" collapsed="false">
      <c r="A115" s="14" t="n">
        <v>105</v>
      </c>
      <c r="B115" s="15" t="s">
        <v>77</v>
      </c>
      <c r="C115" s="16" t="s">
        <v>163</v>
      </c>
      <c r="D115" s="17" t="s">
        <v>164</v>
      </c>
      <c r="E115" s="18" t="n">
        <v>1078</v>
      </c>
      <c r="F115" s="19" t="n">
        <f aca="false">IF(E115="","",ROUND(E115/(1+$C$4),0))</f>
        <v>980</v>
      </c>
      <c r="G115" s="20" t="n">
        <v>338.2</v>
      </c>
      <c r="H115" s="21" t="n">
        <f aca="false">IF(OR(F115="",F115=0,G115=""),"",G115/F115)</f>
        <v>0.345102040816327</v>
      </c>
      <c r="I115" s="22" t="n">
        <f aca="false">IF(OR(F115="",G115=""),"",F115-G115)</f>
        <v>641.8</v>
      </c>
      <c r="J115" s="23" t="n">
        <v>1128</v>
      </c>
      <c r="K115" s="19" t="n">
        <f aca="false">IF(J115="","",ROUND(J115/(1+$D$4),0))</f>
        <v>1025</v>
      </c>
      <c r="L115" s="21" t="n">
        <f aca="false">IF(OR(K115="",K115=0,G115=""),"",G115/K115)</f>
        <v>0.329951219512195</v>
      </c>
      <c r="M115" s="22" t="n">
        <f aca="false">IF(OR(K115="",G115=""),"",K115-G115)</f>
        <v>686.8</v>
      </c>
      <c r="N115" s="24" t="n">
        <f aca="false">J115-E115</f>
        <v>50</v>
      </c>
      <c r="O115" s="25"/>
    </row>
    <row r="116" customFormat="false" ht="14.25" hidden="false" customHeight="false" outlineLevel="0" collapsed="false">
      <c r="A116" s="26" t="n">
        <v>106</v>
      </c>
      <c r="B116" s="27" t="s">
        <v>77</v>
      </c>
      <c r="C116" s="28" t="s">
        <v>163</v>
      </c>
      <c r="D116" s="38" t="s">
        <v>165</v>
      </c>
      <c r="E116" s="30" t="n">
        <v>1078</v>
      </c>
      <c r="F116" s="31" t="n">
        <f aca="false">IF(E116="","",ROUND(E116/(1+$C$4),0))</f>
        <v>980</v>
      </c>
      <c r="G116" s="20" t="n">
        <v>324.3</v>
      </c>
      <c r="H116" s="32" t="n">
        <f aca="false">IF(OR(F116="",F116=0,G116=""),"",G116/F116)</f>
        <v>0.330918367346939</v>
      </c>
      <c r="I116" s="33" t="n">
        <f aca="false">IF(OR(F116="",G116=""),"",F116-G116)</f>
        <v>655.7</v>
      </c>
      <c r="J116" s="23" t="n">
        <v>1128</v>
      </c>
      <c r="K116" s="31" t="n">
        <f aca="false">IF(J116="","",ROUND(J116/(1+$D$4),0))</f>
        <v>1025</v>
      </c>
      <c r="L116" s="21" t="n">
        <f aca="false">IF(OR(K116="",K116=0,G116=""),"",G116/K116)</f>
        <v>0.316390243902439</v>
      </c>
      <c r="M116" s="22" t="n">
        <f aca="false">IF(OR(K116="",G116=""),"",K116-G116)</f>
        <v>700.7</v>
      </c>
      <c r="N116" s="34" t="n">
        <f aca="false">J116-E116</f>
        <v>50</v>
      </c>
      <c r="O116" s="39"/>
    </row>
    <row r="117" customFormat="false" ht="14.25" hidden="false" customHeight="false" outlineLevel="0" collapsed="false">
      <c r="A117" s="14" t="n">
        <v>107</v>
      </c>
      <c r="B117" s="15" t="s">
        <v>77</v>
      </c>
      <c r="C117" s="16" t="s">
        <v>163</v>
      </c>
      <c r="D117" s="17" t="s">
        <v>166</v>
      </c>
      <c r="E117" s="18" t="n">
        <v>1078</v>
      </c>
      <c r="F117" s="19" t="n">
        <f aca="false">IF(E117="","",ROUND(E117/(1+$C$4),0))</f>
        <v>980</v>
      </c>
      <c r="G117" s="20" t="n">
        <v>360.2</v>
      </c>
      <c r="H117" s="21" t="n">
        <f aca="false">IF(OR(F117="",F117=0,G117=""),"",G117/F117)</f>
        <v>0.367551020408163</v>
      </c>
      <c r="I117" s="22" t="n">
        <f aca="false">IF(OR(F117="",G117=""),"",F117-G117)</f>
        <v>619.8</v>
      </c>
      <c r="J117" s="23" t="n">
        <v>1128</v>
      </c>
      <c r="K117" s="19" t="n">
        <f aca="false">IF(J117="","",ROUND(J117/(1+$D$4),0))</f>
        <v>1025</v>
      </c>
      <c r="L117" s="21" t="n">
        <f aca="false">IF(OR(K117="",K117=0,G117=""),"",G117/K117)</f>
        <v>0.351414634146341</v>
      </c>
      <c r="M117" s="22" t="n">
        <f aca="false">IF(OR(K117="",G117=""),"",K117-G117)</f>
        <v>664.8</v>
      </c>
      <c r="N117" s="24" t="n">
        <f aca="false">J117-E117</f>
        <v>50</v>
      </c>
      <c r="O117" s="25"/>
    </row>
    <row r="118" customFormat="false" ht="14.25" hidden="false" customHeight="false" outlineLevel="0" collapsed="false">
      <c r="A118" s="26" t="n">
        <v>108</v>
      </c>
      <c r="B118" s="27" t="s">
        <v>77</v>
      </c>
      <c r="C118" s="28" t="s">
        <v>163</v>
      </c>
      <c r="D118" s="38" t="s">
        <v>167</v>
      </c>
      <c r="E118" s="30" t="n">
        <v>858</v>
      </c>
      <c r="F118" s="31" t="n">
        <f aca="false">IF(E118="","",ROUND(E118/(1+$C$4),0))</f>
        <v>780</v>
      </c>
      <c r="G118" s="20" t="n">
        <v>91.4</v>
      </c>
      <c r="H118" s="32" t="n">
        <f aca="false">IF(OR(F118="",F118=0,G118=""),"",G118/F118)</f>
        <v>0.117179487179487</v>
      </c>
      <c r="I118" s="33" t="n">
        <f aca="false">IF(OR(F118="",G118=""),"",F118-G118)</f>
        <v>688.6</v>
      </c>
      <c r="J118" s="23" t="n">
        <v>888</v>
      </c>
      <c r="K118" s="31" t="n">
        <f aca="false">IF(J118="","",ROUND(J118/(1+$D$4),0))</f>
        <v>807</v>
      </c>
      <c r="L118" s="21" t="n">
        <f aca="false">IF(OR(K118="",K118=0,G118=""),"",G118/K118)</f>
        <v>0.113258983890954</v>
      </c>
      <c r="M118" s="22" t="n">
        <f aca="false">IF(OR(K118="",G118=""),"",K118-G118)</f>
        <v>715.6</v>
      </c>
      <c r="N118" s="34" t="n">
        <f aca="false">J118-E118</f>
        <v>30</v>
      </c>
      <c r="O118" s="39"/>
    </row>
    <row r="119" customFormat="false" ht="14.25" hidden="false" customHeight="false" outlineLevel="0" collapsed="false">
      <c r="A119" s="14" t="n">
        <v>109</v>
      </c>
      <c r="B119" s="15" t="s">
        <v>77</v>
      </c>
      <c r="C119" s="16" t="s">
        <v>163</v>
      </c>
      <c r="D119" s="17" t="s">
        <v>168</v>
      </c>
      <c r="E119" s="18" t="n">
        <v>858</v>
      </c>
      <c r="F119" s="19" t="n">
        <f aca="false">IF(E119="","",ROUND(E119/(1+$C$4),0))</f>
        <v>780</v>
      </c>
      <c r="G119" s="20" t="n">
        <v>90.4</v>
      </c>
      <c r="H119" s="21" t="n">
        <f aca="false">IF(OR(F119="",F119=0,G119=""),"",G119/F119)</f>
        <v>0.115897435897436</v>
      </c>
      <c r="I119" s="22" t="n">
        <f aca="false">IF(OR(F119="",G119=""),"",F119-G119)</f>
        <v>689.6</v>
      </c>
      <c r="J119" s="23" t="n">
        <v>888</v>
      </c>
      <c r="K119" s="19" t="n">
        <f aca="false">IF(J119="","",ROUND(J119/(1+$D$4),0))</f>
        <v>807</v>
      </c>
      <c r="L119" s="21" t="n">
        <f aca="false">IF(OR(K119="",K119=0,G119=""),"",G119/K119)</f>
        <v>0.112019826517968</v>
      </c>
      <c r="M119" s="22" t="n">
        <f aca="false">IF(OR(K119="",G119=""),"",K119-G119)</f>
        <v>716.6</v>
      </c>
      <c r="N119" s="24" t="n">
        <f aca="false">J119-E119</f>
        <v>30</v>
      </c>
      <c r="O119" s="25"/>
    </row>
    <row r="120" customFormat="false" ht="14.25" hidden="false" customHeight="false" outlineLevel="0" collapsed="false">
      <c r="A120" s="26" t="n">
        <v>110</v>
      </c>
      <c r="B120" s="27" t="s">
        <v>77</v>
      </c>
      <c r="C120" s="28" t="s">
        <v>169</v>
      </c>
      <c r="D120" s="38" t="s">
        <v>170</v>
      </c>
      <c r="E120" s="30" t="n">
        <v>1408</v>
      </c>
      <c r="F120" s="31" t="n">
        <f aca="false">IF(E120="","",ROUND(E120/(1+$C$4),0))</f>
        <v>1280</v>
      </c>
      <c r="G120" s="20" t="n">
        <v>414.2</v>
      </c>
      <c r="H120" s="32" t="n">
        <f aca="false">IF(OR(F120="",F120=0,G120=""),"",G120/F120)</f>
        <v>0.32359375</v>
      </c>
      <c r="I120" s="33" t="n">
        <f aca="false">IF(OR(F120="",G120=""),"",F120-G120)</f>
        <v>865.8</v>
      </c>
      <c r="J120" s="23" t="n">
        <v>1458</v>
      </c>
      <c r="K120" s="31" t="n">
        <f aca="false">IF(J120="","",ROUND(J120/(1+$D$4),0))</f>
        <v>1325</v>
      </c>
      <c r="L120" s="21" t="n">
        <f aca="false">IF(OR(K120="",K120=0,G120=""),"",G120/K120)</f>
        <v>0.312603773584906</v>
      </c>
      <c r="M120" s="22" t="n">
        <f aca="false">IF(OR(K120="",G120=""),"",K120-G120)</f>
        <v>910.8</v>
      </c>
      <c r="N120" s="34" t="n">
        <f aca="false">J120-E120</f>
        <v>50</v>
      </c>
      <c r="O120" s="39"/>
    </row>
    <row r="121" customFormat="false" ht="14.25" hidden="false" customHeight="false" outlineLevel="0" collapsed="false">
      <c r="A121" s="14" t="n">
        <v>111</v>
      </c>
      <c r="B121" s="15" t="s">
        <v>77</v>
      </c>
      <c r="C121" s="16" t="s">
        <v>169</v>
      </c>
      <c r="D121" s="17" t="s">
        <v>171</v>
      </c>
      <c r="E121" s="18" t="n">
        <v>1518</v>
      </c>
      <c r="F121" s="19" t="n">
        <f aca="false">IF(E121="","",ROUND(E121/(1+$C$4),0))</f>
        <v>1380</v>
      </c>
      <c r="G121" s="20" t="n">
        <v>227.8</v>
      </c>
      <c r="H121" s="21" t="n">
        <f aca="false">IF(OR(F121="",F121=0,G121=""),"",G121/F121)</f>
        <v>0.165072463768116</v>
      </c>
      <c r="I121" s="22" t="n">
        <f aca="false">IF(OR(F121="",G121=""),"",F121-G121)</f>
        <v>1152.2</v>
      </c>
      <c r="J121" s="23" t="n">
        <v>1568</v>
      </c>
      <c r="K121" s="19" t="n">
        <f aca="false">IF(J121="","",ROUND(J121/(1+$D$4),0))</f>
        <v>1425</v>
      </c>
      <c r="L121" s="21" t="n">
        <f aca="false">IF(OR(K121="",K121=0,G121=""),"",G121/K121)</f>
        <v>0.159859649122807</v>
      </c>
      <c r="M121" s="22" t="n">
        <f aca="false">IF(OR(K121="",G121=""),"",K121-G121)</f>
        <v>1197.2</v>
      </c>
      <c r="N121" s="24" t="n">
        <f aca="false">J121-E121</f>
        <v>50</v>
      </c>
      <c r="O121" s="41" t="s">
        <v>172</v>
      </c>
    </row>
    <row r="122" customFormat="false" ht="14.25" hidden="false" customHeight="false" outlineLevel="0" collapsed="false">
      <c r="A122" s="26" t="n">
        <v>112</v>
      </c>
      <c r="B122" s="27" t="s">
        <v>77</v>
      </c>
      <c r="C122" s="28" t="s">
        <v>169</v>
      </c>
      <c r="D122" s="38" t="s">
        <v>173</v>
      </c>
      <c r="E122" s="30" t="n">
        <v>1518</v>
      </c>
      <c r="F122" s="31" t="n">
        <f aca="false">IF(E122="","",ROUND(E122/(1+$C$4),0))</f>
        <v>1380</v>
      </c>
      <c r="G122" s="20" t="n">
        <v>372.9</v>
      </c>
      <c r="H122" s="32" t="n">
        <f aca="false">IF(OR(F122="",F122=0,G122=""),"",G122/F122)</f>
        <v>0.270217391304348</v>
      </c>
      <c r="I122" s="33" t="n">
        <f aca="false">IF(OR(F122="",G122=""),"",F122-G122)</f>
        <v>1007.1</v>
      </c>
      <c r="J122" s="23" t="n">
        <v>1568</v>
      </c>
      <c r="K122" s="31" t="n">
        <f aca="false">IF(J122="","",ROUND(J122/(1+$D$4),0))</f>
        <v>1425</v>
      </c>
      <c r="L122" s="21" t="n">
        <f aca="false">IF(OR(K122="",K122=0,G122=""),"",G122/K122)</f>
        <v>0.261684210526316</v>
      </c>
      <c r="M122" s="22" t="n">
        <f aca="false">IF(OR(K122="",G122=""),"",K122-G122)</f>
        <v>1052.1</v>
      </c>
      <c r="N122" s="34" t="n">
        <f aca="false">J122-E122</f>
        <v>50</v>
      </c>
      <c r="O122" s="39" t="s">
        <v>112</v>
      </c>
    </row>
    <row r="123" customFormat="false" ht="14.25" hidden="false" customHeight="false" outlineLevel="0" collapsed="false">
      <c r="A123" s="14" t="n">
        <v>113</v>
      </c>
      <c r="B123" s="15" t="s">
        <v>77</v>
      </c>
      <c r="C123" s="16" t="s">
        <v>169</v>
      </c>
      <c r="D123" s="17" t="s">
        <v>174</v>
      </c>
      <c r="E123" s="18" t="n">
        <v>1408</v>
      </c>
      <c r="F123" s="19" t="n">
        <f aca="false">IF(E123="","",ROUND(E123/(1+$C$4),0))</f>
        <v>1280</v>
      </c>
      <c r="G123" s="20" t="n">
        <v>235.3</v>
      </c>
      <c r="H123" s="21" t="n">
        <f aca="false">IF(OR(F123="",F123=0,G123=""),"",G123/F123)</f>
        <v>0.183828125</v>
      </c>
      <c r="I123" s="22" t="n">
        <f aca="false">IF(OR(F123="",G123=""),"",F123-G123)</f>
        <v>1044.7</v>
      </c>
      <c r="J123" s="23" t="n">
        <v>1458</v>
      </c>
      <c r="K123" s="19" t="n">
        <f aca="false">IF(J123="","",ROUND(J123/(1+$D$4),0))</f>
        <v>1325</v>
      </c>
      <c r="L123" s="21" t="n">
        <f aca="false">IF(OR(K123="",K123=0,G123=""),"",G123/K123)</f>
        <v>0.177584905660377</v>
      </c>
      <c r="M123" s="22" t="n">
        <f aca="false">IF(OR(K123="",G123=""),"",K123-G123)</f>
        <v>1089.7</v>
      </c>
      <c r="N123" s="24" t="n">
        <f aca="false">J123-E123</f>
        <v>50</v>
      </c>
      <c r="O123" s="25" t="s">
        <v>112</v>
      </c>
    </row>
    <row r="124" customFormat="false" ht="14.25" hidden="false" customHeight="false" outlineLevel="0" collapsed="false">
      <c r="A124" s="26" t="n">
        <v>114</v>
      </c>
      <c r="B124" s="27" t="s">
        <v>77</v>
      </c>
      <c r="C124" s="28" t="s">
        <v>169</v>
      </c>
      <c r="D124" s="37" t="s">
        <v>175</v>
      </c>
      <c r="E124" s="30" t="n">
        <v>1078</v>
      </c>
      <c r="F124" s="31" t="n">
        <f aca="false">IF(E124="","",ROUND(E124/(1+$C$4),0))</f>
        <v>980</v>
      </c>
      <c r="G124" s="20" t="n">
        <v>171</v>
      </c>
      <c r="H124" s="32" t="n">
        <f aca="false">IF(OR(F124="",F124=0,G124=""),"",G124/F124)</f>
        <v>0.174489795918367</v>
      </c>
      <c r="I124" s="33" t="n">
        <f aca="false">IF(OR(F124="",G124=""),"",F124-G124)</f>
        <v>809</v>
      </c>
      <c r="J124" s="23" t="n">
        <v>1128</v>
      </c>
      <c r="K124" s="31" t="n">
        <f aca="false">IF(J124="","",ROUND(J124/(1+$D$4),0))</f>
        <v>1025</v>
      </c>
      <c r="L124" s="21" t="n">
        <f aca="false">IF(OR(K124="",K124=0,G124=""),"",G124/K124)</f>
        <v>0.166829268292683</v>
      </c>
      <c r="M124" s="22" t="n">
        <f aca="false">IF(OR(K124="",G124=""),"",K124-G124)</f>
        <v>854</v>
      </c>
      <c r="N124" s="34" t="n">
        <f aca="false">J124-E124</f>
        <v>50</v>
      </c>
      <c r="O124" s="45" t="s">
        <v>176</v>
      </c>
    </row>
    <row r="125" customFormat="false" ht="14.25" hidden="false" customHeight="false" outlineLevel="0" collapsed="false">
      <c r="A125" s="14" t="n">
        <v>115</v>
      </c>
      <c r="B125" s="15" t="s">
        <v>77</v>
      </c>
      <c r="C125" s="16" t="s">
        <v>169</v>
      </c>
      <c r="D125" s="37" t="s">
        <v>177</v>
      </c>
      <c r="E125" s="18" t="n">
        <v>1133</v>
      </c>
      <c r="F125" s="19" t="n">
        <f aca="false">IF(E125="","",ROUND(E125/(1+$C$4),0))</f>
        <v>1030</v>
      </c>
      <c r="G125" s="20" t="n">
        <f aca="false">171+(G92-G91)</f>
        <v>309.1</v>
      </c>
      <c r="H125" s="21" t="n">
        <f aca="false">IF(OR(F125="",F125=0,G125=""),"",G125/F125)</f>
        <v>0.300097087378641</v>
      </c>
      <c r="I125" s="22" t="n">
        <f aca="false">IF(OR(F125="",G125=""),"",F125-G125)</f>
        <v>720.9</v>
      </c>
      <c r="J125" s="23" t="n">
        <v>1188</v>
      </c>
      <c r="K125" s="19" t="n">
        <f aca="false">IF(J125="","",ROUND(J125/(1+$D$4),0))</f>
        <v>1080</v>
      </c>
      <c r="L125" s="21" t="n">
        <f aca="false">IF(OR(K125="",K125=0,G125=""),"",G125/K125)</f>
        <v>0.286203703703704</v>
      </c>
      <c r="M125" s="22" t="n">
        <f aca="false">IF(OR(K125="",G125=""),"",K125-G125)</f>
        <v>770.9</v>
      </c>
      <c r="N125" s="24" t="n">
        <f aca="false">J125-E125</f>
        <v>55</v>
      </c>
      <c r="O125" s="46" t="s">
        <v>178</v>
      </c>
    </row>
    <row r="126" customFormat="false" ht="14.25" hidden="false" customHeight="false" outlineLevel="0" collapsed="false">
      <c r="A126" s="26" t="n">
        <v>116</v>
      </c>
      <c r="B126" s="27" t="s">
        <v>25</v>
      </c>
      <c r="C126" s="28" t="s">
        <v>179</v>
      </c>
      <c r="D126" s="38" t="s">
        <v>180</v>
      </c>
      <c r="E126" s="30" t="n">
        <v>308</v>
      </c>
      <c r="F126" s="31" t="n">
        <f aca="false">IF(E126="","",ROUND(E126/(1+$C$4),0))</f>
        <v>280</v>
      </c>
      <c r="G126" s="20" t="n">
        <v>40.4</v>
      </c>
      <c r="H126" s="32" t="n">
        <f aca="false">IF(OR(F126="",F126=0,G126=""),"",G126/F126)</f>
        <v>0.144285714285714</v>
      </c>
      <c r="I126" s="33" t="n">
        <f aca="false">IF(OR(F126="",G126=""),"",F126-G126)</f>
        <v>239.6</v>
      </c>
      <c r="J126" s="23" t="n">
        <v>328</v>
      </c>
      <c r="K126" s="31" t="n">
        <f aca="false">IF(J126="","",ROUND(J126/(1+$D$4),0))</f>
        <v>298</v>
      </c>
      <c r="L126" s="21" t="n">
        <f aca="false">IF(OR(K126="",K126=0,G126=""),"",G126/K126)</f>
        <v>0.135570469798658</v>
      </c>
      <c r="M126" s="22" t="n">
        <f aca="false">IF(OR(K126="",G126=""),"",K126-G126)</f>
        <v>257.6</v>
      </c>
      <c r="N126" s="34" t="n">
        <f aca="false">J126-E126</f>
        <v>20</v>
      </c>
      <c r="O126" s="39"/>
    </row>
    <row r="127" customFormat="false" ht="14.25" hidden="false" customHeight="false" outlineLevel="0" collapsed="false">
      <c r="A127" s="14" t="n">
        <v>117</v>
      </c>
      <c r="B127" s="15" t="s">
        <v>25</v>
      </c>
      <c r="C127" s="16" t="s">
        <v>179</v>
      </c>
      <c r="D127" s="17" t="s">
        <v>181</v>
      </c>
      <c r="E127" s="18" t="n">
        <v>308</v>
      </c>
      <c r="F127" s="19" t="n">
        <f aca="false">IF(E127="","",ROUND(E127/(1+$C$4),0))</f>
        <v>280</v>
      </c>
      <c r="G127" s="20" t="n">
        <v>57.9</v>
      </c>
      <c r="H127" s="21" t="n">
        <f aca="false">IF(OR(F127="",F127=0,G127=""),"",G127/F127)</f>
        <v>0.206785714285714</v>
      </c>
      <c r="I127" s="22" t="n">
        <f aca="false">IF(OR(F127="",G127=""),"",F127-G127)</f>
        <v>222.1</v>
      </c>
      <c r="J127" s="23" t="n">
        <v>328</v>
      </c>
      <c r="K127" s="19" t="n">
        <f aca="false">IF(J127="","",ROUND(J127/(1+$D$4),0))</f>
        <v>298</v>
      </c>
      <c r="L127" s="21" t="n">
        <f aca="false">IF(OR(K127="",K127=0,G127=""),"",G127/K127)</f>
        <v>0.194295302013423</v>
      </c>
      <c r="M127" s="22" t="n">
        <f aca="false">IF(OR(K127="",G127=""),"",K127-G127)</f>
        <v>240.1</v>
      </c>
      <c r="N127" s="24" t="n">
        <f aca="false">J127-E127</f>
        <v>20</v>
      </c>
      <c r="O127" s="41" t="s">
        <v>182</v>
      </c>
    </row>
    <row r="128" customFormat="false" ht="14.25" hidden="false" customHeight="false" outlineLevel="0" collapsed="false">
      <c r="A128" s="26" t="n">
        <v>118</v>
      </c>
      <c r="B128" s="27" t="s">
        <v>25</v>
      </c>
      <c r="C128" s="28" t="s">
        <v>179</v>
      </c>
      <c r="D128" s="29" t="s">
        <v>183</v>
      </c>
      <c r="E128" s="30" t="n">
        <v>308</v>
      </c>
      <c r="F128" s="31" t="n">
        <f aca="false">IF(E128="","",ROUND(E128/(1+$C$4),0))</f>
        <v>280</v>
      </c>
      <c r="G128" s="20" t="n">
        <v>57.2</v>
      </c>
      <c r="H128" s="32" t="n">
        <f aca="false">IF(OR(F128="",F128=0,G128=""),"",G128/F128)</f>
        <v>0.204285714285714</v>
      </c>
      <c r="I128" s="33" t="n">
        <f aca="false">IF(OR(F128="",G128=""),"",F128-G128)</f>
        <v>222.8</v>
      </c>
      <c r="J128" s="23" t="n">
        <v>328</v>
      </c>
      <c r="K128" s="31" t="n">
        <f aca="false">IF(J128="","",ROUND(J128/(1+$D$4),0))</f>
        <v>298</v>
      </c>
      <c r="L128" s="21" t="n">
        <f aca="false">IF(OR(K128="",K128=0,G128=""),"",G128/K128)</f>
        <v>0.191946308724832</v>
      </c>
      <c r="M128" s="22" t="n">
        <f aca="false">IF(OR(K128="",G128=""),"",K128-G128)</f>
        <v>240.8</v>
      </c>
      <c r="N128" s="34" t="n">
        <f aca="false">J128-E128</f>
        <v>20</v>
      </c>
      <c r="O128" s="35" t="s">
        <v>29</v>
      </c>
    </row>
    <row r="129" customFormat="false" ht="14.25" hidden="false" customHeight="false" outlineLevel="0" collapsed="false">
      <c r="A129" s="14" t="n">
        <v>119</v>
      </c>
      <c r="B129" s="15" t="s">
        <v>25</v>
      </c>
      <c r="C129" s="16" t="s">
        <v>179</v>
      </c>
      <c r="D129" s="17" t="s">
        <v>184</v>
      </c>
      <c r="E129" s="18" t="n">
        <v>308</v>
      </c>
      <c r="F129" s="19" t="n">
        <f aca="false">IF(E129="","",ROUND(E129/(1+$C$4),0))</f>
        <v>280</v>
      </c>
      <c r="G129" s="20" t="n">
        <v>56.7</v>
      </c>
      <c r="H129" s="21" t="n">
        <f aca="false">IF(OR(F129="",F129=0,G129=""),"",G129/F129)</f>
        <v>0.2025</v>
      </c>
      <c r="I129" s="22" t="n">
        <f aca="false">IF(OR(F129="",G129=""),"",F129-G129)</f>
        <v>223.3</v>
      </c>
      <c r="J129" s="23" t="n">
        <v>328</v>
      </c>
      <c r="K129" s="19" t="n">
        <f aca="false">IF(J129="","",ROUND(J129/(1+$D$4),0))</f>
        <v>298</v>
      </c>
      <c r="L129" s="21" t="n">
        <f aca="false">IF(OR(K129="",K129=0,G129=""),"",G129/K129)</f>
        <v>0.190268456375839</v>
      </c>
      <c r="M129" s="22" t="n">
        <f aca="false">IF(OR(K129="",G129=""),"",K129-G129)</f>
        <v>241.3</v>
      </c>
      <c r="N129" s="24" t="n">
        <f aca="false">J129-E129</f>
        <v>20</v>
      </c>
      <c r="O129" s="25"/>
    </row>
    <row r="130" customFormat="false" ht="14.25" hidden="false" customHeight="false" outlineLevel="0" collapsed="false">
      <c r="A130" s="26" t="n">
        <v>120</v>
      </c>
      <c r="B130" s="27" t="s">
        <v>25</v>
      </c>
      <c r="C130" s="28" t="s">
        <v>179</v>
      </c>
      <c r="D130" s="38" t="s">
        <v>185</v>
      </c>
      <c r="E130" s="30" t="n">
        <v>308</v>
      </c>
      <c r="F130" s="31" t="n">
        <f aca="false">IF(E130="","",ROUND(E130/(1+$C$4),0))</f>
        <v>280</v>
      </c>
      <c r="G130" s="20" t="n">
        <v>64.3</v>
      </c>
      <c r="H130" s="32" t="n">
        <f aca="false">IF(OR(F130="",F130=0,G130=""),"",G130/F130)</f>
        <v>0.229642857142857</v>
      </c>
      <c r="I130" s="33" t="n">
        <f aca="false">IF(OR(F130="",G130=""),"",F130-G130)</f>
        <v>215.7</v>
      </c>
      <c r="J130" s="23" t="n">
        <v>328</v>
      </c>
      <c r="K130" s="31" t="n">
        <f aca="false">IF(J130="","",ROUND(J130/(1+$D$4),0))</f>
        <v>298</v>
      </c>
      <c r="L130" s="21" t="n">
        <f aca="false">IF(OR(K130="",K130=0,G130=""),"",G130/K130)</f>
        <v>0.215771812080537</v>
      </c>
      <c r="M130" s="22" t="n">
        <f aca="false">IF(OR(K130="",G130=""),"",K130-G130)</f>
        <v>233.7</v>
      </c>
      <c r="N130" s="34" t="n">
        <f aca="false">J130-E130</f>
        <v>20</v>
      </c>
      <c r="O130" s="39"/>
    </row>
    <row r="131" customFormat="false" ht="14.25" hidden="false" customHeight="false" outlineLevel="0" collapsed="false">
      <c r="A131" s="14" t="n">
        <v>121</v>
      </c>
      <c r="B131" s="15" t="s">
        <v>25</v>
      </c>
      <c r="C131" s="16" t="s">
        <v>179</v>
      </c>
      <c r="D131" s="17" t="s">
        <v>186</v>
      </c>
      <c r="E131" s="18" t="n">
        <v>308</v>
      </c>
      <c r="F131" s="19" t="n">
        <f aca="false">IF(E131="","",ROUND(E131/(1+$C$4),0))</f>
        <v>280</v>
      </c>
      <c r="G131" s="20" t="n">
        <v>50.2</v>
      </c>
      <c r="H131" s="21" t="n">
        <f aca="false">IF(OR(F131="",F131=0,G131=""),"",G131/F131)</f>
        <v>0.179285714285714</v>
      </c>
      <c r="I131" s="22" t="n">
        <f aca="false">IF(OR(F131="",G131=""),"",F131-G131)</f>
        <v>229.8</v>
      </c>
      <c r="J131" s="23" t="n">
        <v>328</v>
      </c>
      <c r="K131" s="19" t="n">
        <f aca="false">IF(J131="","",ROUND(J131/(1+$D$4),0))</f>
        <v>298</v>
      </c>
      <c r="L131" s="21" t="n">
        <f aca="false">IF(OR(K131="",K131=0,G131=""),"",G131/K131)</f>
        <v>0.168456375838926</v>
      </c>
      <c r="M131" s="22" t="n">
        <f aca="false">IF(OR(K131="",G131=""),"",K131-G131)</f>
        <v>247.8</v>
      </c>
      <c r="N131" s="24" t="n">
        <f aca="false">J131-E131</f>
        <v>20</v>
      </c>
      <c r="O131" s="25"/>
    </row>
    <row r="132" customFormat="false" ht="14.25" hidden="false" customHeight="false" outlineLevel="0" collapsed="false">
      <c r="A132" s="26" t="n">
        <v>122</v>
      </c>
      <c r="B132" s="27" t="s">
        <v>25</v>
      </c>
      <c r="C132" s="28" t="s">
        <v>179</v>
      </c>
      <c r="D132" s="38" t="s">
        <v>187</v>
      </c>
      <c r="E132" s="30" t="n">
        <v>308</v>
      </c>
      <c r="F132" s="31" t="n">
        <f aca="false">IF(E132="","",ROUND(E132/(1+$C$4),0))</f>
        <v>280</v>
      </c>
      <c r="G132" s="20" t="n">
        <v>49</v>
      </c>
      <c r="H132" s="32" t="n">
        <f aca="false">IF(OR(F132="",F132=0,G132=""),"",G132/F132)</f>
        <v>0.175</v>
      </c>
      <c r="I132" s="33" t="n">
        <f aca="false">IF(OR(F132="",G132=""),"",F132-G132)</f>
        <v>231</v>
      </c>
      <c r="J132" s="23" t="n">
        <v>328</v>
      </c>
      <c r="K132" s="31" t="n">
        <f aca="false">IF(J132="","",ROUND(J132/(1+$D$4),0))</f>
        <v>298</v>
      </c>
      <c r="L132" s="21" t="n">
        <f aca="false">IF(OR(K132="",K132=0,G132=""),"",G132/K132)</f>
        <v>0.164429530201342</v>
      </c>
      <c r="M132" s="22" t="n">
        <f aca="false">IF(OR(K132="",G132=""),"",K132-G132)</f>
        <v>249</v>
      </c>
      <c r="N132" s="34" t="n">
        <f aca="false">J132-E132</f>
        <v>20</v>
      </c>
      <c r="O132" s="39"/>
    </row>
    <row r="133" customFormat="false" ht="14.25" hidden="false" customHeight="false" outlineLevel="0" collapsed="false">
      <c r="A133" s="14" t="n">
        <v>123</v>
      </c>
      <c r="B133" s="15" t="s">
        <v>25</v>
      </c>
      <c r="C133" s="16" t="s">
        <v>179</v>
      </c>
      <c r="D133" s="17" t="s">
        <v>188</v>
      </c>
      <c r="E133" s="18" t="n">
        <v>308</v>
      </c>
      <c r="F133" s="19" t="n">
        <f aca="false">IF(E133="","",ROUND(E133/(1+$C$4),0))</f>
        <v>280</v>
      </c>
      <c r="G133" s="20" t="n">
        <v>49.2</v>
      </c>
      <c r="H133" s="21" t="n">
        <f aca="false">IF(OR(F133="",F133=0,G133=""),"",G133/F133)</f>
        <v>0.175714285714286</v>
      </c>
      <c r="I133" s="22" t="n">
        <f aca="false">IF(OR(F133="",G133=""),"",F133-G133)</f>
        <v>230.8</v>
      </c>
      <c r="J133" s="23" t="n">
        <v>328</v>
      </c>
      <c r="K133" s="19" t="n">
        <f aca="false">IF(J133="","",ROUND(J133/(1+$D$4),0))</f>
        <v>298</v>
      </c>
      <c r="L133" s="21" t="n">
        <f aca="false">IF(OR(K133="",K133=0,G133=""),"",G133/K133)</f>
        <v>0.16510067114094</v>
      </c>
      <c r="M133" s="22" t="n">
        <f aca="false">IF(OR(K133="",G133=""),"",K133-G133)</f>
        <v>248.8</v>
      </c>
      <c r="N133" s="24" t="n">
        <f aca="false">J133-E133</f>
        <v>20</v>
      </c>
      <c r="O133" s="25"/>
    </row>
    <row r="134" customFormat="false" ht="14.25" hidden="false" customHeight="false" outlineLevel="0" collapsed="false">
      <c r="A134" s="26" t="n">
        <v>124</v>
      </c>
      <c r="B134" s="27" t="s">
        <v>25</v>
      </c>
      <c r="C134" s="28" t="s">
        <v>179</v>
      </c>
      <c r="D134" s="38" t="s">
        <v>189</v>
      </c>
      <c r="E134" s="30" t="n">
        <v>308</v>
      </c>
      <c r="F134" s="31" t="n">
        <f aca="false">IF(E134="","",ROUND(E134/(1+$C$4),0))</f>
        <v>280</v>
      </c>
      <c r="G134" s="20" t="n">
        <v>61.5</v>
      </c>
      <c r="H134" s="32" t="n">
        <f aca="false">IF(OR(F134="",F134=0,G134=""),"",G134/F134)</f>
        <v>0.219642857142857</v>
      </c>
      <c r="I134" s="33" t="n">
        <f aca="false">IF(OR(F134="",G134=""),"",F134-G134)</f>
        <v>218.5</v>
      </c>
      <c r="J134" s="23" t="n">
        <v>328</v>
      </c>
      <c r="K134" s="31" t="n">
        <f aca="false">IF(J134="","",ROUND(J134/(1+$D$4),0))</f>
        <v>298</v>
      </c>
      <c r="L134" s="21" t="n">
        <f aca="false">IF(OR(K134="",K134=0,G134=""),"",G134/K134)</f>
        <v>0.206375838926175</v>
      </c>
      <c r="M134" s="22" t="n">
        <f aca="false">IF(OR(K134="",G134=""),"",K134-G134)</f>
        <v>236.5</v>
      </c>
      <c r="N134" s="34" t="n">
        <f aca="false">J134-E134</f>
        <v>20</v>
      </c>
      <c r="O134" s="39"/>
    </row>
    <row r="135" customFormat="false" ht="14.25" hidden="false" customHeight="false" outlineLevel="0" collapsed="false">
      <c r="A135" s="14" t="n">
        <v>125</v>
      </c>
      <c r="B135" s="15" t="s">
        <v>25</v>
      </c>
      <c r="C135" s="16" t="s">
        <v>179</v>
      </c>
      <c r="D135" s="29" t="s">
        <v>190</v>
      </c>
      <c r="E135" s="18" t="n">
        <v>308</v>
      </c>
      <c r="F135" s="19" t="n">
        <f aca="false">IF(E135="","",ROUND(E135/(1+$C$4),0))</f>
        <v>280</v>
      </c>
      <c r="G135" s="20" t="n">
        <f aca="false">61.4+1.4</f>
        <v>62.8</v>
      </c>
      <c r="H135" s="21" t="n">
        <f aca="false">IF(OR(F135="",F135=0,G135=""),"",G135/F135)</f>
        <v>0.224285714285714</v>
      </c>
      <c r="I135" s="22" t="n">
        <f aca="false">IF(OR(F135="",G135=""),"",F135-G135)</f>
        <v>217.2</v>
      </c>
      <c r="J135" s="23" t="n">
        <v>328</v>
      </c>
      <c r="K135" s="19" t="n">
        <f aca="false">IF(J135="","",ROUND(J135/(1+$D$4),0))</f>
        <v>298</v>
      </c>
      <c r="L135" s="21" t="n">
        <f aca="false">IF(OR(K135="",K135=0,G135=""),"",G135/K135)</f>
        <v>0.210738255033557</v>
      </c>
      <c r="M135" s="22" t="n">
        <f aca="false">IF(OR(K135="",G135=""),"",K135-G135)</f>
        <v>235.2</v>
      </c>
      <c r="N135" s="24" t="n">
        <f aca="false">J135-E135</f>
        <v>20</v>
      </c>
      <c r="O135" s="36" t="s">
        <v>29</v>
      </c>
    </row>
    <row r="136" customFormat="false" ht="14.25" hidden="false" customHeight="false" outlineLevel="0" collapsed="false">
      <c r="A136" s="26" t="n">
        <v>126</v>
      </c>
      <c r="B136" s="27" t="s">
        <v>25</v>
      </c>
      <c r="C136" s="28" t="s">
        <v>179</v>
      </c>
      <c r="D136" s="38" t="s">
        <v>191</v>
      </c>
      <c r="E136" s="30" t="n">
        <v>308</v>
      </c>
      <c r="F136" s="31" t="n">
        <f aca="false">IF(E136="","",ROUND(E136/(1+$C$4),0))</f>
        <v>280</v>
      </c>
      <c r="G136" s="20" t="n">
        <v>31.5</v>
      </c>
      <c r="H136" s="32" t="n">
        <f aca="false">IF(OR(F136="",F136=0,G136=""),"",G136/F136)</f>
        <v>0.1125</v>
      </c>
      <c r="I136" s="33" t="n">
        <f aca="false">IF(OR(F136="",G136=""),"",F136-G136)</f>
        <v>248.5</v>
      </c>
      <c r="J136" s="23" t="n">
        <v>328</v>
      </c>
      <c r="K136" s="31" t="n">
        <f aca="false">IF(J136="","",ROUND(J136/(1+$D$4),0))</f>
        <v>298</v>
      </c>
      <c r="L136" s="21" t="n">
        <f aca="false">IF(OR(K136="",K136=0,G136=""),"",G136/K136)</f>
        <v>0.105704697986577</v>
      </c>
      <c r="M136" s="22" t="n">
        <f aca="false">IF(OR(K136="",G136=""),"",K136-G136)</f>
        <v>266.5</v>
      </c>
      <c r="N136" s="34" t="n">
        <f aca="false">J136-E136</f>
        <v>20</v>
      </c>
      <c r="O136" s="39"/>
    </row>
    <row r="137" customFormat="false" ht="14.25" hidden="false" customHeight="false" outlineLevel="0" collapsed="false">
      <c r="A137" s="14" t="n">
        <v>127</v>
      </c>
      <c r="B137" s="15" t="s">
        <v>25</v>
      </c>
      <c r="C137" s="16" t="s">
        <v>179</v>
      </c>
      <c r="D137" s="17" t="s">
        <v>192</v>
      </c>
      <c r="E137" s="18" t="n">
        <v>308</v>
      </c>
      <c r="F137" s="19" t="n">
        <f aca="false">IF(E137="","",ROUND(E137/(1+$C$4),0))</f>
        <v>280</v>
      </c>
      <c r="G137" s="20" t="n">
        <v>57.2</v>
      </c>
      <c r="H137" s="21" t="n">
        <f aca="false">IF(OR(F137="",F137=0,G137=""),"",G137/F137)</f>
        <v>0.204285714285714</v>
      </c>
      <c r="I137" s="22" t="n">
        <f aca="false">IF(OR(F137="",G137=""),"",F137-G137)</f>
        <v>222.8</v>
      </c>
      <c r="J137" s="23" t="n">
        <v>328</v>
      </c>
      <c r="K137" s="19" t="n">
        <f aca="false">IF(J137="","",ROUND(J137/(1+$D$4),0))</f>
        <v>298</v>
      </c>
      <c r="L137" s="21" t="n">
        <f aca="false">IF(OR(K137="",K137=0,G137=""),"",G137/K137)</f>
        <v>0.191946308724832</v>
      </c>
      <c r="M137" s="22" t="n">
        <f aca="false">IF(OR(K137="",G137=""),"",K137-G137)</f>
        <v>240.8</v>
      </c>
      <c r="N137" s="24" t="n">
        <f aca="false">J137-E137</f>
        <v>20</v>
      </c>
      <c r="O137" s="41" t="s">
        <v>193</v>
      </c>
    </row>
    <row r="138" customFormat="false" ht="14.25" hidden="false" customHeight="false" outlineLevel="0" collapsed="false">
      <c r="A138" s="26" t="n">
        <v>128</v>
      </c>
      <c r="B138" s="27" t="s">
        <v>25</v>
      </c>
      <c r="C138" s="28" t="s">
        <v>179</v>
      </c>
      <c r="D138" s="38" t="s">
        <v>194</v>
      </c>
      <c r="E138" s="30" t="n">
        <v>528</v>
      </c>
      <c r="F138" s="31" t="n">
        <f aca="false">IF(E138="","",ROUND(E138/(1+$C$4),0))</f>
        <v>480</v>
      </c>
      <c r="G138" s="20" t="n">
        <v>130.7</v>
      </c>
      <c r="H138" s="32" t="n">
        <f aca="false">IF(OR(F138="",F138=0,G138=""),"",G138/F138)</f>
        <v>0.272291666666667</v>
      </c>
      <c r="I138" s="33" t="n">
        <f aca="false">IF(OR(F138="",G138=""),"",F138-G138)</f>
        <v>349.3</v>
      </c>
      <c r="J138" s="23" t="n">
        <v>528</v>
      </c>
      <c r="K138" s="31" t="n">
        <f aca="false">IF(J138="","",ROUND(J138/(1+$D$4),0))</f>
        <v>480</v>
      </c>
      <c r="L138" s="21" t="n">
        <f aca="false">IF(OR(K138="",K138=0,G138=""),"",G138/K138)</f>
        <v>0.272291666666667</v>
      </c>
      <c r="M138" s="22" t="n">
        <f aca="false">IF(OR(K138="",G138=""),"",K138-G138)</f>
        <v>349.3</v>
      </c>
      <c r="N138" s="34" t="n">
        <f aca="false">J138-E138</f>
        <v>0</v>
      </c>
      <c r="O138" s="40" t="s">
        <v>195</v>
      </c>
    </row>
    <row r="139" customFormat="false" ht="14.25" hidden="false" customHeight="false" outlineLevel="0" collapsed="false">
      <c r="A139" s="14" t="n">
        <v>129</v>
      </c>
      <c r="B139" s="15" t="s">
        <v>25</v>
      </c>
      <c r="C139" s="16" t="s">
        <v>179</v>
      </c>
      <c r="D139" s="47" t="s">
        <v>196</v>
      </c>
      <c r="E139" s="18" t="n">
        <v>473</v>
      </c>
      <c r="F139" s="19" t="n">
        <f aca="false">IF(E139="","",ROUND(E139/(1+$C$4),0))</f>
        <v>430</v>
      </c>
      <c r="G139" s="20" t="n">
        <v>94.0248902748903</v>
      </c>
      <c r="H139" s="21" t="n">
        <f aca="false">IF(OR(F139="",F139=0,G139=""),"",G139/F139)</f>
        <v>0.218662535523001</v>
      </c>
      <c r="I139" s="22" t="n">
        <f aca="false">IF(OR(F139="",G139=""),"",F139-G139)</f>
        <v>335.97510972511</v>
      </c>
      <c r="J139" s="23" t="n">
        <v>473</v>
      </c>
      <c r="K139" s="19" t="n">
        <f aca="false">IF(J139="","",ROUND(J139/(1+$D$4),0))</f>
        <v>430</v>
      </c>
      <c r="L139" s="21" t="n">
        <f aca="false">IF(OR(K139="",K139=0,G139=""),"",G139/K139)</f>
        <v>0.218662535523001</v>
      </c>
      <c r="M139" s="22" t="n">
        <f aca="false">IF(OR(K139="",G139=""),"",K139-G139)</f>
        <v>335.97510972511</v>
      </c>
      <c r="N139" s="24" t="n">
        <f aca="false">J139-E139</f>
        <v>0</v>
      </c>
      <c r="O139" s="25"/>
    </row>
    <row r="140" customFormat="false" ht="14.25" hidden="false" customHeight="false" outlineLevel="0" collapsed="false">
      <c r="A140" s="26" t="n">
        <v>130</v>
      </c>
      <c r="B140" s="27" t="s">
        <v>25</v>
      </c>
      <c r="C140" s="28" t="s">
        <v>197</v>
      </c>
      <c r="D140" s="29" t="s">
        <v>198</v>
      </c>
      <c r="E140" s="30" t="n">
        <v>528</v>
      </c>
      <c r="F140" s="31" t="n">
        <f aca="false">IF(E140="","",ROUND(E140/(1+$C$4),0))</f>
        <v>480</v>
      </c>
      <c r="G140" s="20" t="n">
        <f aca="false">G137+72</f>
        <v>129.2</v>
      </c>
      <c r="H140" s="32" t="n">
        <f aca="false">IF(OR(F140="",F140=0,G140=""),"",G140/F140)</f>
        <v>0.269166666666667</v>
      </c>
      <c r="I140" s="33" t="n">
        <f aca="false">IF(OR(F140="",G140=""),"",F140-G140)</f>
        <v>350.8</v>
      </c>
      <c r="J140" s="23" t="n">
        <v>558</v>
      </c>
      <c r="K140" s="31" t="n">
        <f aca="false">IF(J140="","",ROUND(J140/(1+$D$4),0))</f>
        <v>507</v>
      </c>
      <c r="L140" s="21" t="n">
        <f aca="false">IF(OR(K140="",K140=0,G140=""),"",G140/K140)</f>
        <v>0.254832347140039</v>
      </c>
      <c r="M140" s="22" t="n">
        <f aca="false">IF(OR(K140="",G140=""),"",K140-G140)</f>
        <v>377.8</v>
      </c>
      <c r="N140" s="34" t="n">
        <f aca="false">J140-E140</f>
        <v>30</v>
      </c>
      <c r="O140" s="35" t="s">
        <v>29</v>
      </c>
    </row>
    <row r="141" customFormat="false" ht="14.25" hidden="false" customHeight="false" outlineLevel="0" collapsed="false">
      <c r="A141" s="14" t="n">
        <v>131</v>
      </c>
      <c r="B141" s="15" t="s">
        <v>25</v>
      </c>
      <c r="C141" s="16" t="s">
        <v>197</v>
      </c>
      <c r="D141" s="29" t="s">
        <v>199</v>
      </c>
      <c r="E141" s="18" t="n">
        <v>528</v>
      </c>
      <c r="F141" s="19" t="n">
        <f aca="false">IF(E141="","",ROUND(E141/(1+$C$4),0))</f>
        <v>480</v>
      </c>
      <c r="G141" s="20" t="n">
        <f aca="false">G133+72</f>
        <v>121.2</v>
      </c>
      <c r="H141" s="21" t="n">
        <f aca="false">IF(OR(F141="",F141=0,G141=""),"",G141/F141)</f>
        <v>0.2525</v>
      </c>
      <c r="I141" s="22" t="n">
        <f aca="false">IF(OR(F141="",G141=""),"",F141-G141)</f>
        <v>358.8</v>
      </c>
      <c r="J141" s="23" t="n">
        <v>558</v>
      </c>
      <c r="K141" s="19" t="n">
        <f aca="false">IF(J141="","",ROUND(J141/(1+$D$4),0))</f>
        <v>507</v>
      </c>
      <c r="L141" s="21" t="n">
        <f aca="false">IF(OR(K141="",K141=0,G141=""),"",G141/K141)</f>
        <v>0.23905325443787</v>
      </c>
      <c r="M141" s="22" t="n">
        <f aca="false">IF(OR(K141="",G141=""),"",K141-G141)</f>
        <v>385.8</v>
      </c>
      <c r="N141" s="24" t="n">
        <f aca="false">J141-E141</f>
        <v>30</v>
      </c>
      <c r="O141" s="36" t="s">
        <v>29</v>
      </c>
    </row>
    <row r="142" customFormat="false" ht="14.25" hidden="false" customHeight="false" outlineLevel="0" collapsed="false">
      <c r="A142" s="26" t="n">
        <v>132</v>
      </c>
      <c r="B142" s="27" t="s">
        <v>25</v>
      </c>
      <c r="C142" s="28" t="s">
        <v>197</v>
      </c>
      <c r="D142" s="29" t="s">
        <v>200</v>
      </c>
      <c r="E142" s="30" t="n">
        <v>528</v>
      </c>
      <c r="F142" s="31" t="n">
        <f aca="false">IF(E142="","",ROUND(E142/(1+$C$4),0))</f>
        <v>480</v>
      </c>
      <c r="G142" s="20" t="n">
        <f aca="false">G132+72</f>
        <v>121</v>
      </c>
      <c r="H142" s="32" t="n">
        <f aca="false">IF(OR(F142="",F142=0,G142=""),"",G142/F142)</f>
        <v>0.252083333333333</v>
      </c>
      <c r="I142" s="33" t="n">
        <f aca="false">IF(OR(F142="",G142=""),"",F142-G142)</f>
        <v>359</v>
      </c>
      <c r="J142" s="23" t="n">
        <v>558</v>
      </c>
      <c r="K142" s="31" t="n">
        <f aca="false">IF(J142="","",ROUND(J142/(1+$D$4),0))</f>
        <v>507</v>
      </c>
      <c r="L142" s="21" t="n">
        <f aca="false">IF(OR(K142="",K142=0,G142=""),"",G142/K142)</f>
        <v>0.238658777120316</v>
      </c>
      <c r="M142" s="22" t="n">
        <f aca="false">IF(OR(K142="",G142=""),"",K142-G142)</f>
        <v>386</v>
      </c>
      <c r="N142" s="34" t="n">
        <f aca="false">J142-E142</f>
        <v>30</v>
      </c>
      <c r="O142" s="35" t="s">
        <v>29</v>
      </c>
    </row>
    <row r="143" customFormat="false" ht="14.25" hidden="false" customHeight="false" outlineLevel="0" collapsed="false">
      <c r="A143" s="14" t="n">
        <v>133</v>
      </c>
      <c r="B143" s="15" t="s">
        <v>25</v>
      </c>
      <c r="C143" s="16" t="s">
        <v>197</v>
      </c>
      <c r="D143" s="29" t="s">
        <v>201</v>
      </c>
      <c r="E143" s="18" t="n">
        <v>528</v>
      </c>
      <c r="F143" s="19" t="n">
        <f aca="false">IF(E143="","",ROUND(E143/(1+$C$4),0))</f>
        <v>480</v>
      </c>
      <c r="G143" s="20" t="n">
        <f aca="false">G134+72</f>
        <v>133.5</v>
      </c>
      <c r="H143" s="21" t="n">
        <f aca="false">IF(OR(F143="",F143=0,G143=""),"",G143/F143)</f>
        <v>0.278125</v>
      </c>
      <c r="I143" s="22" t="n">
        <f aca="false">IF(OR(F143="",G143=""),"",F143-G143)</f>
        <v>346.5</v>
      </c>
      <c r="J143" s="23" t="n">
        <v>558</v>
      </c>
      <c r="K143" s="19" t="n">
        <f aca="false">IF(J143="","",ROUND(J143/(1+$D$4),0))</f>
        <v>507</v>
      </c>
      <c r="L143" s="21" t="n">
        <f aca="false">IF(OR(K143="",K143=0,G143=""),"",G143/K143)</f>
        <v>0.263313609467456</v>
      </c>
      <c r="M143" s="22" t="n">
        <f aca="false">IF(OR(K143="",G143=""),"",K143-G143)</f>
        <v>373.5</v>
      </c>
      <c r="N143" s="24" t="n">
        <f aca="false">J143-E143</f>
        <v>30</v>
      </c>
      <c r="O143" s="36" t="s">
        <v>29</v>
      </c>
    </row>
    <row r="144" customFormat="false" ht="14.25" hidden="false" customHeight="false" outlineLevel="0" collapsed="false">
      <c r="A144" s="26" t="n">
        <v>134</v>
      </c>
      <c r="B144" s="27" t="s">
        <v>25</v>
      </c>
      <c r="C144" s="28" t="s">
        <v>197</v>
      </c>
      <c r="D144" s="29" t="s">
        <v>202</v>
      </c>
      <c r="E144" s="30" t="n">
        <v>528</v>
      </c>
      <c r="F144" s="31" t="n">
        <f aca="false">IF(E144="","",ROUND(E144/(1+$C$4),0))</f>
        <v>480</v>
      </c>
      <c r="G144" s="20" t="n">
        <f aca="false">G135+72</f>
        <v>134.8</v>
      </c>
      <c r="H144" s="32" t="n">
        <f aca="false">IF(OR(F144="",F144=0,G144=""),"",G144/F144)</f>
        <v>0.280833333333333</v>
      </c>
      <c r="I144" s="33" t="n">
        <f aca="false">IF(OR(F144="",G144=""),"",F144-G144)</f>
        <v>345.2</v>
      </c>
      <c r="J144" s="23" t="n">
        <v>558</v>
      </c>
      <c r="K144" s="31" t="n">
        <f aca="false">IF(J144="","",ROUND(J144/(1+$D$4),0))</f>
        <v>507</v>
      </c>
      <c r="L144" s="21" t="n">
        <f aca="false">IF(OR(K144="",K144=0,G144=""),"",G144/K144)</f>
        <v>0.265877712031558</v>
      </c>
      <c r="M144" s="22" t="n">
        <f aca="false">IF(OR(K144="",G144=""),"",K144-G144)</f>
        <v>372.2</v>
      </c>
      <c r="N144" s="34" t="n">
        <f aca="false">J144-E144</f>
        <v>30</v>
      </c>
      <c r="O144" s="35" t="s">
        <v>29</v>
      </c>
    </row>
    <row r="145" customFormat="false" ht="14.25" hidden="false" customHeight="false" outlineLevel="0" collapsed="false">
      <c r="A145" s="14" t="n">
        <v>135</v>
      </c>
      <c r="B145" s="15" t="s">
        <v>25</v>
      </c>
      <c r="C145" s="16" t="s">
        <v>197</v>
      </c>
      <c r="D145" s="29" t="s">
        <v>203</v>
      </c>
      <c r="E145" s="18" t="n">
        <v>528</v>
      </c>
      <c r="F145" s="19" t="n">
        <f aca="false">IF(E145="","",ROUND(E145/(1+$C$4),0))</f>
        <v>480</v>
      </c>
      <c r="G145" s="20" t="n">
        <f aca="false">G131+72</f>
        <v>122.2</v>
      </c>
      <c r="H145" s="21" t="n">
        <f aca="false">IF(OR(F145="",F145=0,G145=""),"",G145/F145)</f>
        <v>0.254583333333333</v>
      </c>
      <c r="I145" s="22" t="n">
        <f aca="false">IF(OR(F145="",G145=""),"",F145-G145)</f>
        <v>357.8</v>
      </c>
      <c r="J145" s="23" t="n">
        <v>558</v>
      </c>
      <c r="K145" s="19" t="n">
        <f aca="false">IF(J145="","",ROUND(J145/(1+$D$4),0))</f>
        <v>507</v>
      </c>
      <c r="L145" s="21" t="n">
        <f aca="false">IF(OR(K145="",K145=0,G145=""),"",G145/K145)</f>
        <v>0.241025641025641</v>
      </c>
      <c r="M145" s="22" t="n">
        <f aca="false">IF(OR(K145="",G145=""),"",K145-G145)</f>
        <v>384.8</v>
      </c>
      <c r="N145" s="24" t="n">
        <f aca="false">J145-E145</f>
        <v>30</v>
      </c>
      <c r="O145" s="36" t="s">
        <v>29</v>
      </c>
    </row>
    <row r="146" customFormat="false" ht="14.25" hidden="false" customHeight="false" outlineLevel="0" collapsed="false">
      <c r="A146" s="26" t="n">
        <v>136</v>
      </c>
      <c r="B146" s="27" t="s">
        <v>25</v>
      </c>
      <c r="C146" s="28" t="s">
        <v>197</v>
      </c>
      <c r="D146" s="29" t="s">
        <v>204</v>
      </c>
      <c r="E146" s="30" t="n">
        <v>528</v>
      </c>
      <c r="F146" s="31" t="n">
        <f aca="false">IF(E146="","",ROUND(E146/(1+$C$4),0))</f>
        <v>480</v>
      </c>
      <c r="G146" s="20" t="n">
        <f aca="false">G136+72</f>
        <v>103.5</v>
      </c>
      <c r="H146" s="32" t="n">
        <f aca="false">IF(OR(F146="",F146=0,G146=""),"",G146/F146)</f>
        <v>0.215625</v>
      </c>
      <c r="I146" s="33" t="n">
        <f aca="false">IF(OR(F146="",G146=""),"",F146-G146)</f>
        <v>376.5</v>
      </c>
      <c r="J146" s="23" t="n">
        <v>558</v>
      </c>
      <c r="K146" s="31" t="n">
        <f aca="false">IF(J146="","",ROUND(J146/(1+$D$4),0))</f>
        <v>507</v>
      </c>
      <c r="L146" s="21" t="n">
        <f aca="false">IF(OR(K146="",K146=0,G146=""),"",G146/K146)</f>
        <v>0.20414201183432</v>
      </c>
      <c r="M146" s="22" t="n">
        <f aca="false">IF(OR(K146="",G146=""),"",K146-G146)</f>
        <v>403.5</v>
      </c>
      <c r="N146" s="34" t="n">
        <f aca="false">J146-E146</f>
        <v>30</v>
      </c>
      <c r="O146" s="35" t="s">
        <v>29</v>
      </c>
    </row>
    <row r="147" customFormat="false" ht="14.25" hidden="false" customHeight="false" outlineLevel="0" collapsed="false">
      <c r="A147" s="14" t="n">
        <v>137</v>
      </c>
      <c r="B147" s="15" t="s">
        <v>25</v>
      </c>
      <c r="C147" s="16" t="s">
        <v>197</v>
      </c>
      <c r="D147" s="29" t="s">
        <v>205</v>
      </c>
      <c r="E147" s="18" t="n">
        <v>704</v>
      </c>
      <c r="F147" s="19" t="n">
        <f aca="false">IF(E147="","",ROUND(E147/(1+$C$4),0))</f>
        <v>640</v>
      </c>
      <c r="G147" s="20" t="n">
        <f aca="false">G139+72</f>
        <v>166.02489027489</v>
      </c>
      <c r="H147" s="21" t="n">
        <f aca="false">IF(OR(F147="",F147=0,G147=""),"",G147/F147)</f>
        <v>0.259413891054516</v>
      </c>
      <c r="I147" s="22" t="n">
        <f aca="false">IF(OR(F147="",G147=""),"",F147-G147)</f>
        <v>473.97510972511</v>
      </c>
      <c r="J147" s="23" t="n">
        <v>704</v>
      </c>
      <c r="K147" s="19" t="n">
        <f aca="false">IF(J147="","",ROUND(J147/(1+$D$4),0))</f>
        <v>640</v>
      </c>
      <c r="L147" s="21" t="n">
        <f aca="false">IF(OR(K147="",K147=0,G147=""),"",G147/K147)</f>
        <v>0.259413891054516</v>
      </c>
      <c r="M147" s="22" t="n">
        <f aca="false">IF(OR(K147="",G147=""),"",K147-G147)</f>
        <v>473.97510972511</v>
      </c>
      <c r="N147" s="24" t="n">
        <f aca="false">J147-E147</f>
        <v>0</v>
      </c>
      <c r="O147" s="36" t="s">
        <v>29</v>
      </c>
    </row>
    <row r="148" customFormat="false" ht="14.25" hidden="false" customHeight="false" outlineLevel="0" collapsed="false">
      <c r="A148" s="26" t="n">
        <v>138</v>
      </c>
      <c r="B148" s="27" t="s">
        <v>77</v>
      </c>
      <c r="C148" s="28" t="s">
        <v>206</v>
      </c>
      <c r="D148" s="38" t="s">
        <v>207</v>
      </c>
      <c r="E148" s="30" t="n">
        <v>473</v>
      </c>
      <c r="F148" s="31" t="n">
        <f aca="false">IF(E148="","",ROUND(E148/(1+$C$4),0))</f>
        <v>430</v>
      </c>
      <c r="G148" s="20" t="n">
        <v>104.9</v>
      </c>
      <c r="H148" s="32" t="n">
        <f aca="false">IF(OR(F148="",F148=0,G148=""),"",G148/F148)</f>
        <v>0.243953488372093</v>
      </c>
      <c r="I148" s="33" t="n">
        <f aca="false">IF(OR(F148="",G148=""),"",F148-G148)</f>
        <v>325.1</v>
      </c>
      <c r="J148" s="23" t="n">
        <v>493</v>
      </c>
      <c r="K148" s="31" t="n">
        <f aca="false">IF(J148="","",ROUND(J148/(1+$D$4),0))</f>
        <v>448</v>
      </c>
      <c r="L148" s="21" t="n">
        <f aca="false">IF(OR(K148="",K148=0,G148=""),"",G148/K148)</f>
        <v>0.234151785714286</v>
      </c>
      <c r="M148" s="22" t="n">
        <f aca="false">IF(OR(K148="",G148=""),"",K148-G148)</f>
        <v>343.1</v>
      </c>
      <c r="N148" s="34" t="n">
        <f aca="false">J148-E148</f>
        <v>20</v>
      </c>
      <c r="O148" s="39"/>
    </row>
    <row r="149" customFormat="false" ht="14.25" hidden="false" customHeight="false" outlineLevel="0" collapsed="false">
      <c r="A149" s="14" t="n">
        <v>139</v>
      </c>
      <c r="B149" s="15" t="s">
        <v>77</v>
      </c>
      <c r="C149" s="16" t="s">
        <v>206</v>
      </c>
      <c r="D149" s="17" t="s">
        <v>208</v>
      </c>
      <c r="E149" s="18" t="n">
        <v>583</v>
      </c>
      <c r="F149" s="19" t="n">
        <f aca="false">IF(E149="","",ROUND(E149/(1+$C$4),0))</f>
        <v>530</v>
      </c>
      <c r="G149" s="20" t="n">
        <v>112.4</v>
      </c>
      <c r="H149" s="21" t="n">
        <f aca="false">IF(OR(F149="",F149=0,G149=""),"",G149/F149)</f>
        <v>0.212075471698113</v>
      </c>
      <c r="I149" s="22" t="n">
        <f aca="false">IF(OR(F149="",G149=""),"",F149-G149)</f>
        <v>417.6</v>
      </c>
      <c r="J149" s="23" t="n">
        <v>593</v>
      </c>
      <c r="K149" s="19" t="n">
        <f aca="false">IF(J149="","",ROUND(J149/(1+$D$4),0))</f>
        <v>539</v>
      </c>
      <c r="L149" s="21" t="n">
        <f aca="false">IF(OR(K149="",K149=0,G149=""),"",G149/K149)</f>
        <v>0.208534322820037</v>
      </c>
      <c r="M149" s="22" t="n">
        <f aca="false">IF(OR(K149="",G149=""),"",K149-G149)</f>
        <v>426.6</v>
      </c>
      <c r="N149" s="24" t="n">
        <f aca="false">J149-E149</f>
        <v>10</v>
      </c>
      <c r="O149" s="41" t="s">
        <v>209</v>
      </c>
    </row>
    <row r="150" customFormat="false" ht="14.25" hidden="false" customHeight="false" outlineLevel="0" collapsed="false">
      <c r="A150" s="26" t="n">
        <v>140</v>
      </c>
      <c r="B150" s="27" t="s">
        <v>77</v>
      </c>
      <c r="C150" s="28" t="s">
        <v>206</v>
      </c>
      <c r="D150" s="38" t="s">
        <v>210</v>
      </c>
      <c r="E150" s="30" t="n">
        <v>583</v>
      </c>
      <c r="F150" s="31" t="n">
        <f aca="false">IF(E150="","",ROUND(E150/(1+$C$4),0))</f>
        <v>530</v>
      </c>
      <c r="G150" s="20" t="n">
        <v>170.5</v>
      </c>
      <c r="H150" s="32" t="n">
        <f aca="false">IF(OR(F150="",F150=0,G150=""),"",G150/F150)</f>
        <v>0.321698113207547</v>
      </c>
      <c r="I150" s="33" t="n">
        <f aca="false">IF(OR(F150="",G150=""),"",F150-G150)</f>
        <v>359.5</v>
      </c>
      <c r="J150" s="23" t="n">
        <v>593</v>
      </c>
      <c r="K150" s="31" t="n">
        <f aca="false">IF(J150="","",ROUND(J150/(1+$D$4),0))</f>
        <v>539</v>
      </c>
      <c r="L150" s="21" t="n">
        <f aca="false">IF(OR(K150="",K150=0,G150=""),"",G150/K150)</f>
        <v>0.316326530612245</v>
      </c>
      <c r="M150" s="22" t="n">
        <f aca="false">IF(OR(K150="",G150=""),"",K150-G150)</f>
        <v>368.5</v>
      </c>
      <c r="N150" s="34" t="n">
        <f aca="false">J150-E150</f>
        <v>10</v>
      </c>
      <c r="O150" s="39"/>
    </row>
    <row r="151" customFormat="false" ht="14.25" hidden="false" customHeight="false" outlineLevel="0" collapsed="false">
      <c r="A151" s="14" t="n">
        <v>141</v>
      </c>
      <c r="B151" s="15" t="s">
        <v>77</v>
      </c>
      <c r="C151" s="16" t="s">
        <v>206</v>
      </c>
      <c r="D151" s="17" t="s">
        <v>211</v>
      </c>
      <c r="E151" s="18" t="n">
        <v>583</v>
      </c>
      <c r="F151" s="19" t="n">
        <f aca="false">IF(E151="","",ROUND(E151/(1+$C$4),0))</f>
        <v>530</v>
      </c>
      <c r="G151" s="20" t="n">
        <v>112.9</v>
      </c>
      <c r="H151" s="21" t="n">
        <f aca="false">IF(OR(F151="",F151=0,G151=""),"",G151/F151)</f>
        <v>0.213018867924528</v>
      </c>
      <c r="I151" s="22" t="n">
        <f aca="false">IF(OR(F151="",G151=""),"",F151-G151)</f>
        <v>417.1</v>
      </c>
      <c r="J151" s="23" t="n">
        <v>593</v>
      </c>
      <c r="K151" s="19" t="n">
        <f aca="false">IF(J151="","",ROUND(J151/(1+$D$4),0))</f>
        <v>539</v>
      </c>
      <c r="L151" s="21" t="n">
        <f aca="false">IF(OR(K151="",K151=0,G151=""),"",G151/K151)</f>
        <v>0.209461966604824</v>
      </c>
      <c r="M151" s="22" t="n">
        <f aca="false">IF(OR(K151="",G151=""),"",K151-G151)</f>
        <v>426.1</v>
      </c>
      <c r="N151" s="24" t="n">
        <f aca="false">J151-E151</f>
        <v>10</v>
      </c>
      <c r="O151" s="25"/>
    </row>
    <row r="152" customFormat="false" ht="14.25" hidden="false" customHeight="false" outlineLevel="0" collapsed="false">
      <c r="A152" s="26" t="n">
        <v>142</v>
      </c>
      <c r="B152" s="27" t="s">
        <v>77</v>
      </c>
      <c r="C152" s="28" t="s">
        <v>206</v>
      </c>
      <c r="D152" s="29" t="s">
        <v>212</v>
      </c>
      <c r="E152" s="30" t="n">
        <v>583</v>
      </c>
      <c r="F152" s="31" t="n">
        <f aca="false">IF(E152="","",ROUND(E152/(1+$C$4),0))</f>
        <v>530</v>
      </c>
      <c r="G152" s="20" t="n">
        <v>26.4</v>
      </c>
      <c r="H152" s="32" t="n">
        <f aca="false">IF(OR(F152="",F152=0,G152=""),"",G152/F152)</f>
        <v>0.049811320754717</v>
      </c>
      <c r="I152" s="33" t="n">
        <f aca="false">IF(OR(F152="",G152=""),"",F152-G152)</f>
        <v>503.6</v>
      </c>
      <c r="J152" s="23" t="n">
        <v>593</v>
      </c>
      <c r="K152" s="31" t="n">
        <f aca="false">IF(J152="","",ROUND(J152/(1+$D$4),0))</f>
        <v>539</v>
      </c>
      <c r="L152" s="21" t="n">
        <f aca="false">IF(OR(K152="",K152=0,G152=""),"",G152/K152)</f>
        <v>0.0489795918367347</v>
      </c>
      <c r="M152" s="22" t="n">
        <f aca="false">IF(OR(K152="",G152=""),"",K152-G152)</f>
        <v>512.6</v>
      </c>
      <c r="N152" s="34" t="n">
        <f aca="false">J152-E152</f>
        <v>10</v>
      </c>
      <c r="O152" s="35" t="s">
        <v>29</v>
      </c>
    </row>
    <row r="153" customFormat="false" ht="14.25" hidden="false" customHeight="false" outlineLevel="0" collapsed="false">
      <c r="A153" s="14" t="n">
        <v>143</v>
      </c>
      <c r="B153" s="15" t="s">
        <v>77</v>
      </c>
      <c r="C153" s="16" t="s">
        <v>206</v>
      </c>
      <c r="D153" s="17" t="s">
        <v>213</v>
      </c>
      <c r="E153" s="18" t="n">
        <v>583</v>
      </c>
      <c r="F153" s="19" t="n">
        <f aca="false">IF(E153="","",ROUND(E153/(1+$C$4),0))</f>
        <v>530</v>
      </c>
      <c r="G153" s="20" t="n">
        <v>132.8</v>
      </c>
      <c r="H153" s="21" t="n">
        <f aca="false">IF(OR(F153="",F153=0,G153=""),"",G153/F153)</f>
        <v>0.250566037735849</v>
      </c>
      <c r="I153" s="22" t="n">
        <f aca="false">IF(OR(F153="",G153=""),"",F153-G153)</f>
        <v>397.2</v>
      </c>
      <c r="J153" s="23" t="n">
        <v>593</v>
      </c>
      <c r="K153" s="19" t="n">
        <f aca="false">IF(J153="","",ROUND(J153/(1+$D$4),0))</f>
        <v>539</v>
      </c>
      <c r="L153" s="21" t="n">
        <f aca="false">IF(OR(K153="",K153=0,G153=""),"",G153/K153)</f>
        <v>0.246382189239332</v>
      </c>
      <c r="M153" s="22" t="n">
        <f aca="false">IF(OR(K153="",G153=""),"",K153-G153)</f>
        <v>406.2</v>
      </c>
      <c r="N153" s="24" t="n">
        <f aca="false">J153-E153</f>
        <v>10</v>
      </c>
      <c r="O153" s="25"/>
    </row>
    <row r="154" customFormat="false" ht="14.25" hidden="false" customHeight="false" outlineLevel="0" collapsed="false">
      <c r="A154" s="26" t="n">
        <v>144</v>
      </c>
      <c r="B154" s="27" t="s">
        <v>77</v>
      </c>
      <c r="C154" s="28" t="s">
        <v>206</v>
      </c>
      <c r="D154" s="38" t="s">
        <v>214</v>
      </c>
      <c r="E154" s="30" t="n">
        <v>583</v>
      </c>
      <c r="F154" s="31" t="n">
        <f aca="false">IF(E154="","",ROUND(E154/(1+$C$4),0))</f>
        <v>530</v>
      </c>
      <c r="G154" s="20" t="n">
        <v>160.2</v>
      </c>
      <c r="H154" s="32" t="n">
        <f aca="false">IF(OR(F154="",F154=0,G154=""),"",G154/F154)</f>
        <v>0.302264150943396</v>
      </c>
      <c r="I154" s="33" t="n">
        <f aca="false">IF(OR(F154="",G154=""),"",F154-G154)</f>
        <v>369.8</v>
      </c>
      <c r="J154" s="23" t="n">
        <v>593</v>
      </c>
      <c r="K154" s="31" t="n">
        <f aca="false">IF(J154="","",ROUND(J154/(1+$D$4),0))</f>
        <v>539</v>
      </c>
      <c r="L154" s="21" t="n">
        <f aca="false">IF(OR(K154="",K154=0,G154=""),"",G154/K154)</f>
        <v>0.29721706864564</v>
      </c>
      <c r="M154" s="22" t="n">
        <f aca="false">IF(OR(K154="",G154=""),"",K154-G154)</f>
        <v>378.8</v>
      </c>
      <c r="N154" s="34" t="n">
        <f aca="false">J154-E154</f>
        <v>10</v>
      </c>
      <c r="O154" s="40" t="s">
        <v>215</v>
      </c>
    </row>
    <row r="155" customFormat="false" ht="14.25" hidden="false" customHeight="false" outlineLevel="0" collapsed="false">
      <c r="A155" s="14" t="n">
        <v>145</v>
      </c>
      <c r="B155" s="15" t="s">
        <v>77</v>
      </c>
      <c r="C155" s="16" t="s">
        <v>206</v>
      </c>
      <c r="D155" s="29" t="s">
        <v>216</v>
      </c>
      <c r="E155" s="18" t="n">
        <v>528</v>
      </c>
      <c r="F155" s="19" t="n">
        <f aca="false">IF(E155="","",ROUND(E155/(1+$C$4),0))</f>
        <v>480</v>
      </c>
      <c r="G155" s="20" t="n">
        <v>102</v>
      </c>
      <c r="H155" s="21" t="n">
        <f aca="false">IF(OR(F155="",F155=0,G155=""),"",G155/F155)</f>
        <v>0.2125</v>
      </c>
      <c r="I155" s="22" t="n">
        <f aca="false">IF(OR(F155="",G155=""),"",F155-G155)</f>
        <v>378</v>
      </c>
      <c r="J155" s="23" t="n">
        <v>558</v>
      </c>
      <c r="K155" s="19" t="n">
        <f aca="false">IF(J155="","",ROUND(J155/(1+$D$4),0))</f>
        <v>507</v>
      </c>
      <c r="L155" s="21" t="n">
        <f aca="false">IF(OR(K155="",K155=0,G155=""),"",G155/K155)</f>
        <v>0.201183431952663</v>
      </c>
      <c r="M155" s="22" t="n">
        <f aca="false">IF(OR(K155="",G155=""),"",K155-G155)</f>
        <v>405</v>
      </c>
      <c r="N155" s="24" t="n">
        <f aca="false">J155-E155</f>
        <v>30</v>
      </c>
      <c r="O155" s="36" t="s">
        <v>29</v>
      </c>
    </row>
    <row r="156" customFormat="false" ht="14.25" hidden="false" customHeight="false" outlineLevel="0" collapsed="false">
      <c r="A156" s="26" t="n">
        <v>146</v>
      </c>
      <c r="B156" s="27" t="s">
        <v>77</v>
      </c>
      <c r="C156" s="28" t="s">
        <v>206</v>
      </c>
      <c r="D156" s="29" t="s">
        <v>217</v>
      </c>
      <c r="E156" s="30" t="n">
        <v>528</v>
      </c>
      <c r="F156" s="31" t="n">
        <f aca="false">IF(E156="","",ROUND(E156/(1+$C$4),0))</f>
        <v>480</v>
      </c>
      <c r="G156" s="20" t="n">
        <v>98</v>
      </c>
      <c r="H156" s="32" t="n">
        <f aca="false">IF(OR(F156="",F156=0,G156=""),"",G156/F156)</f>
        <v>0.204166666666667</v>
      </c>
      <c r="I156" s="33" t="n">
        <f aca="false">IF(OR(F156="",G156=""),"",F156-G156)</f>
        <v>382</v>
      </c>
      <c r="J156" s="23" t="n">
        <v>558</v>
      </c>
      <c r="K156" s="31" t="n">
        <f aca="false">IF(J156="","",ROUND(J156/(1+$D$4),0))</f>
        <v>507</v>
      </c>
      <c r="L156" s="21" t="n">
        <f aca="false">IF(OR(K156="",K156=0,G156=""),"",G156/K156)</f>
        <v>0.193293885601578</v>
      </c>
      <c r="M156" s="22" t="n">
        <f aca="false">IF(OR(K156="",G156=""),"",K156-G156)</f>
        <v>409</v>
      </c>
      <c r="N156" s="34" t="n">
        <f aca="false">J156-E156</f>
        <v>30</v>
      </c>
      <c r="O156" s="35" t="s">
        <v>29</v>
      </c>
    </row>
    <row r="157" customFormat="false" ht="14.25" hidden="false" customHeight="false" outlineLevel="0" collapsed="false">
      <c r="A157" s="14" t="n">
        <v>147</v>
      </c>
      <c r="B157" s="15" t="s">
        <v>77</v>
      </c>
      <c r="C157" s="16" t="s">
        <v>206</v>
      </c>
      <c r="D157" s="29" t="s">
        <v>218</v>
      </c>
      <c r="E157" s="18" t="n">
        <v>528</v>
      </c>
      <c r="F157" s="19" t="n">
        <f aca="false">IF(E157="","",ROUND(E157/(1+$C$4),0))</f>
        <v>480</v>
      </c>
      <c r="G157" s="20" t="n">
        <v>103.5</v>
      </c>
      <c r="H157" s="21" t="n">
        <f aca="false">IF(OR(F157="",F157=0,G157=""),"",G157/F157)</f>
        <v>0.215625</v>
      </c>
      <c r="I157" s="22" t="n">
        <f aca="false">IF(OR(F157="",G157=""),"",F157-G157)</f>
        <v>376.5</v>
      </c>
      <c r="J157" s="23" t="n">
        <v>558</v>
      </c>
      <c r="K157" s="19" t="n">
        <f aca="false">IF(J157="","",ROUND(J157/(1+$D$4),0))</f>
        <v>507</v>
      </c>
      <c r="L157" s="21" t="n">
        <f aca="false">IF(OR(K157="",K157=0,G157=""),"",G157/K157)</f>
        <v>0.20414201183432</v>
      </c>
      <c r="M157" s="22" t="n">
        <f aca="false">IF(OR(K157="",G157=""),"",K157-G157)</f>
        <v>403.5</v>
      </c>
      <c r="N157" s="24" t="n">
        <f aca="false">J157-E157</f>
        <v>30</v>
      </c>
      <c r="O157" s="36" t="s">
        <v>29</v>
      </c>
    </row>
    <row r="158" customFormat="false" ht="14.25" hidden="false" customHeight="false" outlineLevel="0" collapsed="false">
      <c r="A158" s="26" t="n">
        <v>148</v>
      </c>
      <c r="B158" s="27" t="s">
        <v>77</v>
      </c>
      <c r="C158" s="28" t="s">
        <v>206</v>
      </c>
      <c r="D158" s="29" t="s">
        <v>219</v>
      </c>
      <c r="E158" s="30" t="n">
        <v>528</v>
      </c>
      <c r="F158" s="31" t="n">
        <f aca="false">IF(E158="","",ROUND(E158/(1+$C$4),0))</f>
        <v>480</v>
      </c>
      <c r="G158" s="20" t="n">
        <v>82.4</v>
      </c>
      <c r="H158" s="32" t="n">
        <f aca="false">IF(OR(F158="",F158=0,G158=""),"",G158/F158)</f>
        <v>0.171666666666667</v>
      </c>
      <c r="I158" s="33" t="n">
        <f aca="false">IF(OR(F158="",G158=""),"",F158-G158)</f>
        <v>397.6</v>
      </c>
      <c r="J158" s="23" t="n">
        <v>558</v>
      </c>
      <c r="K158" s="31" t="n">
        <f aca="false">IF(J158="","",ROUND(J158/(1+$D$4),0))</f>
        <v>507</v>
      </c>
      <c r="L158" s="21" t="n">
        <f aca="false">IF(OR(K158="",K158=0,G158=""),"",G158/K158)</f>
        <v>0.162524654832347</v>
      </c>
      <c r="M158" s="22" t="n">
        <f aca="false">IF(OR(K158="",G158=""),"",K158-G158)</f>
        <v>424.6</v>
      </c>
      <c r="N158" s="34" t="n">
        <f aca="false">J158-E158</f>
        <v>30</v>
      </c>
      <c r="O158" s="35" t="s">
        <v>29</v>
      </c>
    </row>
    <row r="159" customFormat="false" ht="14.25" hidden="false" customHeight="false" outlineLevel="0" collapsed="false">
      <c r="A159" s="14" t="n">
        <v>149</v>
      </c>
      <c r="B159" s="15" t="s">
        <v>77</v>
      </c>
      <c r="C159" s="16" t="s">
        <v>206</v>
      </c>
      <c r="D159" s="29" t="s">
        <v>220</v>
      </c>
      <c r="E159" s="18" t="n">
        <v>528</v>
      </c>
      <c r="F159" s="19" t="n">
        <f aca="false">IF(E159="","",ROUND(E159/(1+$C$4),0))</f>
        <v>480</v>
      </c>
      <c r="G159" s="20" t="n">
        <v>91.8</v>
      </c>
      <c r="H159" s="21" t="n">
        <f aca="false">IF(OR(F159="",F159=0,G159=""),"",G159/F159)</f>
        <v>0.19125</v>
      </c>
      <c r="I159" s="22" t="n">
        <f aca="false">IF(OR(F159="",G159=""),"",F159-G159)</f>
        <v>388.2</v>
      </c>
      <c r="J159" s="23" t="n">
        <v>558</v>
      </c>
      <c r="K159" s="19" t="n">
        <f aca="false">IF(J159="","",ROUND(J159/(1+$D$4),0))</f>
        <v>507</v>
      </c>
      <c r="L159" s="21" t="n">
        <f aca="false">IF(OR(K159="",K159=0,G159=""),"",G159/K159)</f>
        <v>0.181065088757396</v>
      </c>
      <c r="M159" s="22" t="n">
        <f aca="false">IF(OR(K159="",G159=""),"",K159-G159)</f>
        <v>415.2</v>
      </c>
      <c r="N159" s="24" t="n">
        <f aca="false">J159-E159</f>
        <v>30</v>
      </c>
      <c r="O159" s="36" t="s">
        <v>29</v>
      </c>
    </row>
  </sheetData>
  <autoFilter ref="A10:O159"/>
  <conditionalFormatting sqref="L11:L159">
    <cfRule type="expression" priority="2" aboveAverage="0" equalAverage="0" bottom="0" percent="0" rank="0" text="" dxfId="18">
      <formula>AND(ISNUMBER(L11),L11&gt;=0.35)</formula>
    </cfRule>
    <cfRule type="expression" priority="3" aboveAverage="0" equalAverage="0" bottom="0" percent="0" rank="0" text="" dxfId="19">
      <formula>AND(ISNUMBER(L11),L11&gt;=0.3)</formula>
    </cfRule>
  </conditionalFormatting>
  <conditionalFormatting sqref="H11:H159">
    <cfRule type="expression" priority="4" aboveAverage="0" equalAverage="0" bottom="0" percent="0" rank="0" text="" dxfId="18">
      <formula>AND(ISNUMBER(H11),H11&gt;=0.35)</formula>
    </cfRule>
    <cfRule type="expression" priority="5" aboveAverage="0" equalAverage="0" bottom="0" percent="0" rank="0" text="" dxfId="19">
      <formula>AND(ISNUMBER(H11),H11&gt;=0.3)</formula>
    </cfRule>
  </conditionalFormatting>
  <conditionalFormatting sqref="N11:N159">
    <cfRule type="expression" priority="6" aboveAverage="0" equalAverage="0" bottom="0" percent="0" rank="0" text="" dxfId="20">
      <formula>AND(ISNUMBER(N11),N11&lt;&gt;0)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77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15.75" hidden="false" customHeight="true" outlineLevel="0" collapsed="false">
      <c r="A1" s="48" t="s">
        <v>221</v>
      </c>
    </row>
    <row r="3" customFormat="false" ht="14.25" hidden="false" customHeight="false" outlineLevel="0" collapsed="false">
      <c r="A3" s="49" t="s">
        <v>14</v>
      </c>
      <c r="B3" s="49" t="s">
        <v>15</v>
      </c>
      <c r="C3" s="49" t="s">
        <v>222</v>
      </c>
      <c r="D3" s="49" t="s">
        <v>223</v>
      </c>
      <c r="E3" s="49" t="s">
        <v>8</v>
      </c>
      <c r="F3" s="49" t="s">
        <v>10</v>
      </c>
    </row>
    <row r="4" customFormat="false" ht="14.25" hidden="false" customHeight="false" outlineLevel="0" collapsed="false">
      <c r="A4" s="50" t="s">
        <v>25</v>
      </c>
      <c r="B4" s="50" t="s">
        <v>26</v>
      </c>
      <c r="C4" s="51" t="n">
        <f aca="false">COUNTIF(メニュー原価一覧!$C$11:$C$159,B4)</f>
        <v>9</v>
      </c>
      <c r="D4" s="52" t="n">
        <f aca="false">C4-COUNTIFS(メニュー原価一覧!$C$11:$C$159,B4,メニュー原価一覧!$G$11:$G$159,"&gt;0")</f>
        <v>0</v>
      </c>
      <c r="E4" s="53" t="n">
        <f aca="false">IFERROR(AVERAGEIFS(メニュー原価一覧!$H$11:$H$159,メニュー原価一覧!$C$11:$C$159,B4,メニュー原価一覧!$G$11:$G$159,"&gt;0"),"-")</f>
        <v>0.381726799856745</v>
      </c>
      <c r="F4" s="54" t="n">
        <f aca="false">IFERROR(AVERAGEIFS(メニュー原価一覧!$I$11:$I$159,メニュー原価一覧!$C$11:$C$159,B4,メニュー原価一覧!$G$11:$G$159,"&gt;0"),"-")</f>
        <v>492</v>
      </c>
    </row>
    <row r="5" customFormat="false" ht="14.25" hidden="false" customHeight="false" outlineLevel="0" collapsed="false">
      <c r="A5" s="55" t="s">
        <v>25</v>
      </c>
      <c r="B5" s="55" t="s">
        <v>37</v>
      </c>
      <c r="C5" s="56" t="n">
        <f aca="false">COUNTIF(メニュー原価一覧!$C$11:$C$159,B5)</f>
        <v>5</v>
      </c>
      <c r="D5" s="57" t="n">
        <f aca="false">C5-COUNTIFS(メニュー原価一覧!$C$11:$C$159,B5,メニュー原価一覧!$G$11:$G$159,"&gt;0")</f>
        <v>0</v>
      </c>
      <c r="E5" s="58" t="n">
        <f aca="false">IFERROR(AVERAGEIFS(メニュー原価一覧!$H$11:$H$159,メニュー原価一覧!$C$11:$C$159,B5,メニュー原価一覧!$G$11:$G$159,"&gt;0"),"-")</f>
        <v>0.213205882352941</v>
      </c>
      <c r="F5" s="59" t="n">
        <f aca="false">IFERROR(AVERAGEIFS(メニュー原価一覧!$I$11:$I$159,メニュー原価一覧!$C$11:$C$159,B5,メニュー原価一覧!$G$11:$G$159,"&gt;0"),"-")</f>
        <v>535.02</v>
      </c>
    </row>
    <row r="6" customFormat="false" ht="14.25" hidden="false" customHeight="false" outlineLevel="0" collapsed="false">
      <c r="A6" s="50" t="s">
        <v>25</v>
      </c>
      <c r="B6" s="50" t="s">
        <v>44</v>
      </c>
      <c r="C6" s="51" t="n">
        <f aca="false">COUNTIF(メニュー原価一覧!$C$11:$C$159,B6)</f>
        <v>9</v>
      </c>
      <c r="D6" s="52" t="n">
        <f aca="false">C6-COUNTIFS(メニュー原価一覧!$C$11:$C$159,B6,メニュー原価一覧!$G$11:$G$159,"&gt;0")</f>
        <v>0</v>
      </c>
      <c r="E6" s="53" t="n">
        <f aca="false">IFERROR(AVERAGEIFS(メニュー原価一覧!$H$11:$H$159,メニュー原価一覧!$C$11:$C$159,B6,メニュー原価一覧!$G$11:$G$159,"&gt;0"),"-")</f>
        <v>0.153281388827366</v>
      </c>
      <c r="F6" s="54" t="n">
        <f aca="false">IFERROR(AVERAGEIFS(メニュー原価一覧!$I$11:$I$159,メニュー原価一覧!$C$11:$C$159,B6,メニュー原価一覧!$G$11:$G$159,"&gt;0"),"-")</f>
        <v>491.096794480128</v>
      </c>
    </row>
    <row r="7" customFormat="false" ht="14.25" hidden="false" customHeight="false" outlineLevel="0" collapsed="false">
      <c r="A7" s="55" t="s">
        <v>25</v>
      </c>
      <c r="B7" s="55" t="s">
        <v>54</v>
      </c>
      <c r="C7" s="56" t="n">
        <f aca="false">COUNTIF(メニュー原価一覧!$C$11:$C$159,B7)</f>
        <v>8</v>
      </c>
      <c r="D7" s="57" t="n">
        <f aca="false">C7-COUNTIFS(メニュー原価一覧!$C$11:$C$159,B7,メニュー原価一覧!$G$11:$G$159,"&gt;0")</f>
        <v>0</v>
      </c>
      <c r="E7" s="58" t="n">
        <f aca="false">IFERROR(AVERAGEIFS(メニュー原価一覧!$H$11:$H$159,メニュー原価一覧!$C$11:$C$159,B7,メニュー原価一覧!$G$11:$G$159,"&gt;0"),"-")</f>
        <v>0.179797260055881</v>
      </c>
      <c r="F7" s="59" t="n">
        <f aca="false">IFERROR(AVERAGEIFS(メニュー原価一覧!$I$11:$I$159,メニュー原価一覧!$C$11:$C$159,B7,メニュー原価一覧!$G$11:$G$159,"&gt;0"),"-")</f>
        <v>475.717589167589</v>
      </c>
    </row>
    <row r="8" customFormat="false" ht="14.25" hidden="false" customHeight="false" outlineLevel="0" collapsed="false">
      <c r="A8" s="50" t="s">
        <v>25</v>
      </c>
      <c r="B8" s="50" t="s">
        <v>64</v>
      </c>
      <c r="C8" s="51" t="n">
        <f aca="false">COUNTIF(メニュー原価一覧!$C$11:$C$159,B8)</f>
        <v>7</v>
      </c>
      <c r="D8" s="52" t="n">
        <f aca="false">C8-COUNTIFS(メニュー原価一覧!$C$11:$C$159,B8,メニュー原価一覧!$G$11:$G$159,"&gt;0")</f>
        <v>0</v>
      </c>
      <c r="E8" s="53" t="n">
        <f aca="false">IFERROR(AVERAGEIFS(メニュー原価一覧!$H$11:$H$159,メニュー原価一覧!$C$11:$C$159,B8,メニュー原価一覧!$G$11:$G$159,"&gt;0"),"-")</f>
        <v>0.32386228153421</v>
      </c>
      <c r="F8" s="54" t="n">
        <f aca="false">IFERROR(AVERAGEIFS(メニュー原価一覧!$I$11:$I$159,メニュー原価一覧!$C$11:$C$159,B8,メニュー原価一覧!$G$11:$G$159,"&gt;0"),"-")</f>
        <v>651.785714285714</v>
      </c>
    </row>
    <row r="9" customFormat="false" ht="14.25" hidden="false" customHeight="false" outlineLevel="0" collapsed="false">
      <c r="A9" s="55" t="s">
        <v>25</v>
      </c>
      <c r="B9" s="55" t="s">
        <v>73</v>
      </c>
      <c r="C9" s="56" t="n">
        <f aca="false">COUNTIF(メニュー原価一覧!$C$11:$C$159,B9)</f>
        <v>2</v>
      </c>
      <c r="D9" s="57" t="n">
        <f aca="false">C9-COUNTIFS(メニュー原価一覧!$C$11:$C$159,B9,メニュー原価一覧!$G$11:$G$159,"&gt;0")</f>
        <v>2</v>
      </c>
      <c r="E9" s="58" t="str">
        <f aca="false">IFERROR(AVERAGEIFS(メニュー原価一覧!$H$11:$H$159,メニュー原価一覧!$C$11:$C$159,B9,メニュー原価一覧!$G$11:$G$159,"&gt;0"),"-")</f>
        <v>-</v>
      </c>
      <c r="F9" s="59" t="str">
        <f aca="false">IFERROR(AVERAGEIFS(メニュー原価一覧!$I$11:$I$159,メニュー原価一覧!$C$11:$C$159,B9,メニュー原価一覧!$G$11:$G$159,"&gt;0"),"-")</f>
        <v>-</v>
      </c>
    </row>
    <row r="10" customFormat="false" ht="14.25" hidden="false" customHeight="false" outlineLevel="0" collapsed="false">
      <c r="A10" s="50" t="s">
        <v>77</v>
      </c>
      <c r="B10" s="50" t="s">
        <v>78</v>
      </c>
      <c r="C10" s="51" t="n">
        <f aca="false">COUNTIF(メニュー原価一覧!$C$11:$C$159,B10)</f>
        <v>13</v>
      </c>
      <c r="D10" s="52" t="n">
        <f aca="false">C10-COUNTIFS(メニュー原価一覧!$C$11:$C$159,B10,メニュー原価一覧!$G$11:$G$159,"&gt;0")</f>
        <v>1</v>
      </c>
      <c r="E10" s="53" t="n">
        <f aca="false">IFERROR(AVERAGEIFS(メニュー原価一覧!$H$11:$H$159,メニュー原価一覧!$C$11:$C$159,B10,メニュー原価一覧!$G$11:$G$159,"&gt;0"),"-")</f>
        <v>0.360938768069594</v>
      </c>
      <c r="F10" s="54" t="n">
        <f aca="false">IFERROR(AVERAGEIFS(メニュー原価一覧!$I$11:$I$159,メニュー原価一覧!$C$11:$C$159,B10,メニュー原価一覧!$G$11:$G$159,"&gt;0"),"-")</f>
        <v>355.591666666667</v>
      </c>
    </row>
    <row r="11" customFormat="false" ht="14.25" hidden="false" customHeight="false" outlineLevel="0" collapsed="false">
      <c r="A11" s="55" t="s">
        <v>77</v>
      </c>
      <c r="B11" s="55" t="s">
        <v>92</v>
      </c>
      <c r="C11" s="56" t="n">
        <f aca="false">COUNTIF(メニュー原価一覧!$C$11:$C$159,B11)</f>
        <v>13</v>
      </c>
      <c r="D11" s="57" t="n">
        <f aca="false">C11-COUNTIFS(メニュー原価一覧!$C$11:$C$159,B11,メニュー原価一覧!$G$11:$G$159,"&gt;0")</f>
        <v>0</v>
      </c>
      <c r="E11" s="58" t="n">
        <f aca="false">IFERROR(AVERAGEIFS(メニュー原価一覧!$H$11:$H$159,メニュー原価一覧!$C$11:$C$159,B11,メニュー原価一覧!$G$11:$G$159,"&gt;0"),"-")</f>
        <v>0.333605081032779</v>
      </c>
      <c r="F11" s="59" t="n">
        <f aca="false">IFERROR(AVERAGEIFS(メニュー原価一覧!$I$11:$I$159,メニュー原価一覧!$C$11:$C$159,B11,メニュー原価一覧!$G$11:$G$159,"&gt;0"),"-")</f>
        <v>415.907692307692</v>
      </c>
    </row>
    <row r="12" customFormat="false" ht="14.25" hidden="false" customHeight="false" outlineLevel="0" collapsed="false">
      <c r="A12" s="50" t="s">
        <v>77</v>
      </c>
      <c r="B12" s="50" t="s">
        <v>106</v>
      </c>
      <c r="C12" s="51" t="n">
        <f aca="false">COUNTIF(メニュー原価一覧!$C$11:$C$159,B12)</f>
        <v>3</v>
      </c>
      <c r="D12" s="52" t="n">
        <f aca="false">C12-COUNTIFS(メニュー原価一覧!$C$11:$C$159,B12,メニュー原価一覧!$G$11:$G$159,"&gt;0")</f>
        <v>0</v>
      </c>
      <c r="E12" s="53" t="n">
        <f aca="false">IFERROR(AVERAGEIFS(メニュー原価一覧!$H$11:$H$159,メニュー原価一覧!$C$11:$C$159,B12,メニュー原価一覧!$G$11:$G$159,"&gt;0"),"-")</f>
        <v>0.329286536248562</v>
      </c>
      <c r="F12" s="54" t="n">
        <f aca="false">IFERROR(AVERAGEIFS(メニュー原価一覧!$I$11:$I$159,メニュー原価一覧!$C$11:$C$159,B12,メニュー原価一覧!$G$11:$G$159,"&gt;0"),"-")</f>
        <v>1236.33333333333</v>
      </c>
    </row>
    <row r="13" customFormat="false" ht="14.25" hidden="false" customHeight="false" outlineLevel="0" collapsed="false">
      <c r="A13" s="55" t="s">
        <v>77</v>
      </c>
      <c r="B13" s="55" t="s">
        <v>113</v>
      </c>
      <c r="C13" s="56" t="n">
        <f aca="false">COUNTIF(メニュー原価一覧!$C$11:$C$159,B13)</f>
        <v>5</v>
      </c>
      <c r="D13" s="57" t="n">
        <f aca="false">C13-COUNTIFS(メニュー原価一覧!$C$11:$C$159,B13,メニュー原価一覧!$G$11:$G$159,"&gt;0")</f>
        <v>0</v>
      </c>
      <c r="E13" s="58" t="n">
        <f aca="false">IFERROR(AVERAGEIFS(メニュー原価一覧!$H$11:$H$159,メニュー原価一覧!$C$11:$C$159,B13,メニュー原価一覧!$G$11:$G$159,"&gt;0"),"-")</f>
        <v>0.345448275862069</v>
      </c>
      <c r="F13" s="59" t="n">
        <f aca="false">IFERROR(AVERAGEIFS(メニュー原価一覧!$I$11:$I$159,メニュー原価一覧!$C$11:$C$159,B13,メニュー原価一覧!$G$11:$G$159,"&gt;0"),"-")</f>
        <v>379.64</v>
      </c>
    </row>
    <row r="14" customFormat="false" ht="14.25" hidden="false" customHeight="false" outlineLevel="0" collapsed="false">
      <c r="A14" s="50" t="s">
        <v>77</v>
      </c>
      <c r="B14" s="50" t="s">
        <v>120</v>
      </c>
      <c r="C14" s="51" t="n">
        <f aca="false">COUNTIF(メニュー原価一覧!$C$11:$C$159,B14)</f>
        <v>3</v>
      </c>
      <c r="D14" s="52" t="n">
        <f aca="false">C14-COUNTIFS(メニュー原価一覧!$C$11:$C$159,B14,メニュー原価一覧!$G$11:$G$159,"&gt;0")</f>
        <v>0</v>
      </c>
      <c r="E14" s="53" t="n">
        <f aca="false">IFERROR(AVERAGEIFS(メニュー原価一覧!$H$11:$H$159,メニュー原価一覧!$C$11:$C$159,B14,メニュー原価一覧!$G$11:$G$159,"&gt;0"),"-")</f>
        <v>0.335485232067511</v>
      </c>
      <c r="F14" s="54" t="n">
        <f aca="false">IFERROR(AVERAGEIFS(メニュー原価一覧!$I$11:$I$159,メニュー原価一覧!$C$11:$C$159,B14,メニュー原価一覧!$G$11:$G$159,"&gt;0"),"-")</f>
        <v>1049.93333333333</v>
      </c>
    </row>
    <row r="15" customFormat="false" ht="14.25" hidden="false" customHeight="false" outlineLevel="0" collapsed="false">
      <c r="A15" s="55" t="s">
        <v>77</v>
      </c>
      <c r="B15" s="55" t="s">
        <v>124</v>
      </c>
      <c r="C15" s="56" t="n">
        <f aca="false">COUNTIF(メニュー原価一覧!$C$11:$C$159,B15)</f>
        <v>5</v>
      </c>
      <c r="D15" s="57" t="n">
        <f aca="false">C15-COUNTIFS(メニュー原価一覧!$C$11:$C$159,B15,メニュー原価一覧!$G$11:$G$159,"&gt;0")</f>
        <v>0</v>
      </c>
      <c r="E15" s="58" t="n">
        <f aca="false">IFERROR(AVERAGEIFS(メニュー原価一覧!$H$11:$H$159,メニュー原価一覧!$C$11:$C$159,B15,メニュー原価一覧!$G$11:$G$159,"&gt;0"),"-")</f>
        <v>0.315940471592103</v>
      </c>
      <c r="F15" s="59" t="n">
        <f aca="false">IFERROR(AVERAGEIFS(メニュー原価一覧!$I$11:$I$159,メニュー原価一覧!$C$11:$C$159,B15,メニュー原価一覧!$G$11:$G$159,"&gt;0"),"-")</f>
        <v>809.06</v>
      </c>
    </row>
    <row r="16" customFormat="false" ht="14.25" hidden="false" customHeight="false" outlineLevel="0" collapsed="false">
      <c r="A16" s="50" t="s">
        <v>77</v>
      </c>
      <c r="B16" s="50" t="s">
        <v>133</v>
      </c>
      <c r="C16" s="51" t="n">
        <f aca="false">COUNTIF(メニュー原価一覧!$C$11:$C$159,B16)</f>
        <v>5</v>
      </c>
      <c r="D16" s="52" t="n">
        <f aca="false">C16-COUNTIFS(メニュー原価一覧!$C$11:$C$159,B16,メニュー原価一覧!$G$11:$G$159,"&gt;0")</f>
        <v>0</v>
      </c>
      <c r="E16" s="53" t="n">
        <f aca="false">IFERROR(AVERAGEIFS(メニュー原価一覧!$H$11:$H$159,メニュー原価一覧!$C$11:$C$159,B16,メニュー原価一覧!$G$11:$G$159,"&gt;0"),"-")</f>
        <v>0.341489898989899</v>
      </c>
      <c r="F16" s="54" t="n">
        <f aca="false">IFERROR(AVERAGEIFS(メニュー原価一覧!$I$11:$I$159,メニュー原価一覧!$C$11:$C$159,B16,メニュー原価一覧!$G$11:$G$159,"&gt;0"),"-")</f>
        <v>660.4</v>
      </c>
    </row>
    <row r="17" customFormat="false" ht="14.25" hidden="false" customHeight="false" outlineLevel="0" collapsed="false">
      <c r="A17" s="55" t="s">
        <v>77</v>
      </c>
      <c r="B17" s="55" t="s">
        <v>139</v>
      </c>
      <c r="C17" s="56" t="n">
        <f aca="false">COUNTIF(メニュー原価一覧!$C$11:$C$159,B17)</f>
        <v>5</v>
      </c>
      <c r="D17" s="57" t="n">
        <f aca="false">C17-COUNTIFS(メニュー原価一覧!$C$11:$C$159,B17,メニュー原価一覧!$G$11:$G$159,"&gt;0")</f>
        <v>0</v>
      </c>
      <c r="E17" s="58" t="n">
        <f aca="false">IFERROR(AVERAGEIFS(メニュー原価一覧!$H$11:$H$159,メニュー原価一覧!$C$11:$C$159,B17,メニュー原価一覧!$G$11:$G$159,"&gt;0"),"-")</f>
        <v>0.400327736334433</v>
      </c>
      <c r="F17" s="59" t="n">
        <f aca="false">IFERROR(AVERAGEIFS(メニュー原価一覧!$I$11:$I$159,メニュー原価一覧!$C$11:$C$159,B17,メニュー原価一覧!$G$11:$G$159,"&gt;0"),"-")</f>
        <v>838.66</v>
      </c>
    </row>
    <row r="18" customFormat="false" ht="14.25" hidden="false" customHeight="false" outlineLevel="0" collapsed="false">
      <c r="A18" s="50" t="s">
        <v>77</v>
      </c>
      <c r="B18" s="50" t="s">
        <v>145</v>
      </c>
      <c r="C18" s="51" t="n">
        <f aca="false">COUNTIF(メニュー原価一覧!$C$11:$C$159,B18)</f>
        <v>3</v>
      </c>
      <c r="D18" s="52" t="n">
        <f aca="false">C18-COUNTIFS(メニュー原価一覧!$C$11:$C$159,B18,メニュー原価一覧!$G$11:$G$159,"&gt;0")</f>
        <v>0</v>
      </c>
      <c r="E18" s="53" t="n">
        <f aca="false">IFERROR(AVERAGEIFS(メニュー原価一覧!$H$11:$H$159,メニュー原価一覧!$C$11:$C$159,B18,メニュー原価一覧!$G$11:$G$159,"&gt;0"),"-")</f>
        <v>0.347311745169082</v>
      </c>
      <c r="F18" s="54" t="n">
        <f aca="false">IFERROR(AVERAGEIFS(メニュー原価一覧!$I$11:$I$159,メニュー原価一覧!$C$11:$C$159,B18,メニュー原価一覧!$G$11:$G$159,"&gt;0"),"-")</f>
        <v>854.84</v>
      </c>
    </row>
    <row r="19" customFormat="false" ht="14.25" hidden="false" customHeight="false" outlineLevel="0" collapsed="false">
      <c r="A19" s="55" t="s">
        <v>77</v>
      </c>
      <c r="B19" s="55" t="s">
        <v>152</v>
      </c>
      <c r="C19" s="56" t="n">
        <f aca="false">COUNTIF(メニュー原価一覧!$C$11:$C$159,B19)</f>
        <v>4</v>
      </c>
      <c r="D19" s="57" t="n">
        <f aca="false">C19-COUNTIFS(メニュー原価一覧!$C$11:$C$159,B19,メニュー原価一覧!$G$11:$G$159,"&gt;0")</f>
        <v>0</v>
      </c>
      <c r="E19" s="58" t="n">
        <f aca="false">IFERROR(AVERAGEIFS(メニュー原価一覧!$H$11:$H$159,メニュー原価一覧!$C$11:$C$159,B19,メニュー原価一覧!$G$11:$G$159,"&gt;0"),"-")</f>
        <v>0.352019230769231</v>
      </c>
      <c r="F19" s="59" t="n">
        <f aca="false">IFERROR(AVERAGEIFS(メニュー原価一覧!$I$11:$I$159,メニュー原価一覧!$C$11:$C$159,B19,メニュー原価一覧!$G$11:$G$159,"&gt;0"),"-")</f>
        <v>505.425</v>
      </c>
    </row>
    <row r="20" customFormat="false" ht="14.25" hidden="false" customHeight="false" outlineLevel="0" collapsed="false">
      <c r="A20" s="50" t="s">
        <v>77</v>
      </c>
      <c r="B20" s="50" t="s">
        <v>157</v>
      </c>
      <c r="C20" s="51" t="n">
        <f aca="false">COUNTIF(メニュー原価一覧!$C$11:$C$159,B20)</f>
        <v>5</v>
      </c>
      <c r="D20" s="52" t="n">
        <f aca="false">C20-COUNTIFS(メニュー原価一覧!$C$11:$C$159,B20,メニュー原価一覧!$G$11:$G$159,"&gt;0")</f>
        <v>0</v>
      </c>
      <c r="E20" s="53" t="n">
        <f aca="false">IFERROR(AVERAGEIFS(メニュー原価一覧!$H$11:$H$159,メニュー原価一覧!$C$11:$C$159,B20,メニュー原価一覧!$G$11:$G$159,"&gt;0"),"-")</f>
        <v>0.370736842105263</v>
      </c>
      <c r="F20" s="54" t="n">
        <f aca="false">IFERROR(AVERAGEIFS(メニュー原価一覧!$I$11:$I$159,メニュー原価一覧!$C$11:$C$159,B20,メニュー原価一覧!$G$11:$G$159,"&gt;0"),"-")</f>
        <v>193.08</v>
      </c>
    </row>
    <row r="21" customFormat="false" ht="14.25" hidden="false" customHeight="false" outlineLevel="0" collapsed="false">
      <c r="A21" s="55" t="s">
        <v>77</v>
      </c>
      <c r="B21" s="55" t="s">
        <v>163</v>
      </c>
      <c r="C21" s="56" t="n">
        <f aca="false">COUNTIF(メニュー原価一覧!$C$11:$C$159,B21)</f>
        <v>5</v>
      </c>
      <c r="D21" s="57" t="n">
        <f aca="false">C21-COUNTIFS(メニュー原価一覧!$C$11:$C$159,B21,メニュー原価一覧!$G$11:$G$159,"&gt;0")</f>
        <v>0</v>
      </c>
      <c r="E21" s="58" t="n">
        <f aca="false">IFERROR(AVERAGEIFS(メニュー原価一覧!$H$11:$H$159,メニュー原価一覧!$C$11:$C$159,B21,メニュー原価一覧!$G$11:$G$159,"&gt;0"),"-")</f>
        <v>0.25532967032967</v>
      </c>
      <c r="F21" s="59" t="n">
        <f aca="false">IFERROR(AVERAGEIFS(メニュー原価一覧!$I$11:$I$159,メニュー原価一覧!$C$11:$C$159,B21,メニュー原価一覧!$G$11:$G$159,"&gt;0"),"-")</f>
        <v>659.1</v>
      </c>
    </row>
    <row r="22" customFormat="false" ht="14.25" hidden="false" customHeight="false" outlineLevel="0" collapsed="false">
      <c r="A22" s="50" t="s">
        <v>77</v>
      </c>
      <c r="B22" s="50" t="s">
        <v>169</v>
      </c>
      <c r="C22" s="51" t="n">
        <f aca="false">COUNTIF(メニュー原価一覧!$C$11:$C$159,B22)</f>
        <v>6</v>
      </c>
      <c r="D22" s="52" t="n">
        <f aca="false">C22-COUNTIFS(メニュー原価一覧!$C$11:$C$159,B22,メニュー原価一覧!$G$11:$G$159,"&gt;0")</f>
        <v>0</v>
      </c>
      <c r="E22" s="53" t="n">
        <f aca="false">IFERROR(AVERAGEIFS(メニュー原価一覧!$H$11:$H$159,メニュー原価一覧!$C$11:$C$159,B22,メニュー原価一覧!$G$11:$G$159,"&gt;0"),"-")</f>
        <v>0.236216435561579</v>
      </c>
      <c r="F22" s="54" t="n">
        <f aca="false">IFERROR(AVERAGEIFS(メニュー原価一覧!$I$11:$I$159,メニュー原価一覧!$C$11:$C$159,B22,メニュー原価一覧!$G$11:$G$159,"&gt;0"),"-")</f>
        <v>933.283333333333</v>
      </c>
    </row>
    <row r="23" customFormat="false" ht="14.25" hidden="false" customHeight="false" outlineLevel="0" collapsed="false">
      <c r="A23" s="55" t="s">
        <v>25</v>
      </c>
      <c r="B23" s="55" t="s">
        <v>179</v>
      </c>
      <c r="C23" s="56" t="n">
        <f aca="false">COUNTIF(メニュー原価一覧!$C$11:$C$159,B23)</f>
        <v>14</v>
      </c>
      <c r="D23" s="57" t="n">
        <f aca="false">C23-COUNTIFS(メニュー原価一覧!$C$11:$C$159,B23,メニュー原価一覧!$G$11:$G$159,"&gt;0")</f>
        <v>0</v>
      </c>
      <c r="E23" s="58" t="n">
        <f aca="false">IFERROR(AVERAGEIFS(メニュー原価一覧!$H$11:$H$159,メニュー原価一覧!$C$11:$C$159,B23,メニュー原価一覧!$G$11:$G$159,"&gt;0"),"-")</f>
        <v>0.197797749135997</v>
      </c>
      <c r="F23" s="59" t="n">
        <f aca="false">IFERROR(AVERAGEIFS(メニュー原価一覧!$I$11:$I$159,メニュー原価一覧!$C$11:$C$159,B23,メニュー原価一覧!$G$11:$G$159,"&gt;0"),"-")</f>
        <v>243.383936408936</v>
      </c>
    </row>
    <row r="24" customFormat="false" ht="14.25" hidden="false" customHeight="false" outlineLevel="0" collapsed="false">
      <c r="A24" s="50" t="s">
        <v>25</v>
      </c>
      <c r="B24" s="50" t="s">
        <v>197</v>
      </c>
      <c r="C24" s="51" t="n">
        <f aca="false">COUNTIF(メニュー原価一覧!$C$11:$C$159,B24)</f>
        <v>8</v>
      </c>
      <c r="D24" s="52" t="n">
        <f aca="false">C24-COUNTIFS(メニュー原価一覧!$C$11:$C$159,B24,メニュー原価一覧!$G$11:$G$159,"&gt;0")</f>
        <v>0</v>
      </c>
      <c r="E24" s="53" t="n">
        <f aca="false">IFERROR(AVERAGEIFS(メニュー原価一覧!$H$11:$H$159,メニュー原価一覧!$C$11:$C$159,B24,メニュー原価一覧!$G$11:$G$159,"&gt;0"),"-")</f>
        <v>0.257791319715148</v>
      </c>
      <c r="F24" s="54" t="n">
        <f aca="false">IFERROR(AVERAGEIFS(メニュー原価一覧!$I$11:$I$159,メニュー原価一覧!$C$11:$C$159,B24,メニュー原価一覧!$G$11:$G$159,"&gt;0"),"-")</f>
        <v>371.071888715639</v>
      </c>
    </row>
    <row r="25" customFormat="false" ht="14.25" hidden="false" customHeight="false" outlineLevel="0" collapsed="false">
      <c r="A25" s="55" t="s">
        <v>77</v>
      </c>
      <c r="B25" s="55" t="s">
        <v>206</v>
      </c>
      <c r="C25" s="56" t="n">
        <f aca="false">COUNTIF(メニュー原価一覧!$C$11:$C$159,B25)</f>
        <v>12</v>
      </c>
      <c r="D25" s="57" t="n">
        <f aca="false">C25-COUNTIFS(メニュー原価一覧!$C$11:$C$159,B25,メニュー原価一覧!$G$11:$G$159,"&gt;0")</f>
        <v>0</v>
      </c>
      <c r="E25" s="58" t="n">
        <f aca="false">IFERROR(AVERAGEIFS(メニュー原価一覧!$H$11:$H$159,メニュー原価一覧!$C$11:$C$159,B25,メニュー原価一覧!$G$11:$G$159,"&gt;0"),"-")</f>
        <v>0.215716315330798</v>
      </c>
      <c r="F25" s="59" t="n">
        <f aca="false">IFERROR(AVERAGEIFS(メニュー原価一覧!$I$11:$I$159,メニュー原価一覧!$C$11:$C$159,B25,メニュー原価一覧!$G$11:$G$159,"&gt;0"),"-")</f>
        <v>392.683333333333</v>
      </c>
    </row>
    <row r="26" customFormat="false" ht="15" hidden="false" customHeight="true" outlineLevel="0" collapsed="false">
      <c r="A26" s="60" t="s">
        <v>224</v>
      </c>
      <c r="B26" s="60"/>
      <c r="C26" s="61" t="n">
        <f aca="false">SUM(C4:C25)</f>
        <v>149</v>
      </c>
      <c r="D26" s="62" t="n">
        <f aca="false">SUM(D4:D25)</f>
        <v>3</v>
      </c>
      <c r="E26" s="63" t="n">
        <f aca="false">メニュー原価一覧!C6</f>
        <v>0.285498176807762</v>
      </c>
      <c r="F26" s="64" t="n">
        <f aca="false">メニュー原価一覧!C7</f>
        <v>516.422480021316</v>
      </c>
    </row>
  </sheetData>
  <conditionalFormatting sqref="E4:E26">
    <cfRule type="expression" priority="2" aboveAverage="0" equalAverage="0" bottom="0" percent="0" rank="0" text="" dxfId="21">
      <formula>AND(ISNUMBER(E4),E4&gt;=0.3)</formula>
    </cfRule>
  </conditionalFormatting>
  <conditionalFormatting sqref="D4:D25">
    <cfRule type="expression" priority="3" aboveAverage="0" equalAverage="0" bottom="0" percent="0" rank="0" text="" dxfId="22">
      <formula>D4&gt;0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2026-09-29T17:46:07Z</dcterms:created>
  <dc:creator>openpyxl</dc:creator>
  <dc:description/>
  <dc:language>en-US</dc:language>
  <cp:lastModifiedBy>KANDA3</cp:lastModifiedBy>
  <dcterms:modified xsi:type="dcterms:W3CDTF">2026-10-11T11:08:01Z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Date">
    <vt:filetime>2026-10-11T10:57:36Z</vt:filetime>
  </property>
  <property fmtid="{D5CDD505-2E9C-101B-9397-08002B2CF9AE}" pid="3" name="LastSavedVersion">
    <vt:lpwstr>3.1.10.0</vt:lpwstr>
  </property>
</Properties>
</file>