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現状と課題" sheetId="1" state="visible" r:id="rId3"/>
    <sheet name="分類別値上げ率" sheetId="2" state="visible" r:id="rId4"/>
    <sheet name="売上想定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<sst xmlns="http://schemas.openxmlformats.org/spreadsheetml/2006/main" count="108" uniqueCount="100">
  <si>
    <r>
      <rPr>
        <b val="true"/>
        <sz val="14"/>
        <color rgb="FF1F3864"/>
        <rFont val="Meiryo UI"/>
        <family val="0"/>
        <charset val="1"/>
      </rPr>
      <t xml:space="preserve">RAKU SPA 1010 </t>
    </r>
    <r>
      <rPr>
        <b val="true"/>
        <sz val="14"/>
        <color rgb="FF1F3864"/>
        <rFont val="WenQuanYi Zen Hei"/>
        <family val="2"/>
      </rPr>
      <t xml:space="preserve">神田　飲食部門 現状と課題（値上げ根拠）</t>
    </r>
  </si>
  <si>
    <r>
      <rPr>
        <sz val="9"/>
        <color rgb="FF7F7F7F"/>
        <rFont val="WenQuanYi Zen Hei"/>
        <family val="2"/>
      </rPr>
      <t xml:space="preserve">出典：予実管理表 </t>
    </r>
    <r>
      <rPr>
        <sz val="9"/>
        <color rgb="FF7F7F7F"/>
        <rFont val="Meiryo UI"/>
        <family val="0"/>
        <charset val="1"/>
      </rPr>
      <t xml:space="preserve">2026</t>
    </r>
    <r>
      <rPr>
        <sz val="9"/>
        <color rgb="FF7F7F7F"/>
        <rFont val="WenQuanYi Zen Hei"/>
        <family val="2"/>
      </rPr>
      <t xml:space="preserve">年</t>
    </r>
    <r>
      <rPr>
        <sz val="9"/>
        <color rgb="FF7F7F7F"/>
        <rFont val="Meiryo UI"/>
        <family val="0"/>
        <charset val="1"/>
      </rPr>
      <t xml:space="preserve">9</t>
    </r>
    <r>
      <rPr>
        <sz val="9"/>
        <color rgb="FF7F7F7F"/>
        <rFont val="WenQuanYi Zen Hei"/>
        <family val="2"/>
      </rPr>
      <t xml:space="preserve">月（累計＝</t>
    </r>
    <r>
      <rPr>
        <sz val="9"/>
        <color rgb="FF7F7F7F"/>
        <rFont val="Meiryo UI"/>
        <family val="0"/>
        <charset val="1"/>
      </rPr>
      <t xml:space="preserve">2026/4</t>
    </r>
    <r>
      <rPr>
        <sz val="9"/>
        <color rgb="FF7F7F7F"/>
        <rFont val="WenQuanYi Zen Hei"/>
        <family val="2"/>
      </rPr>
      <t xml:space="preserve">〜</t>
    </r>
    <r>
      <rPr>
        <sz val="9"/>
        <color rgb="FF7F7F7F"/>
        <rFont val="Meiryo UI"/>
        <family val="0"/>
        <charset val="1"/>
      </rPr>
      <t xml:space="preserve">9</t>
    </r>
    <r>
      <rPr>
        <sz val="9"/>
        <color rgb="FF7F7F7F"/>
        <rFont val="WenQuanYi Zen Hei"/>
        <family val="2"/>
      </rPr>
      <t xml:space="preserve">月、単位：千円）／期間報 </t>
    </r>
    <r>
      <rPr>
        <sz val="9"/>
        <color rgb="FF7F7F7F"/>
        <rFont val="Meiryo UI"/>
        <family val="0"/>
        <charset val="1"/>
      </rPr>
      <t xml:space="preserve">2026/4/1</t>
    </r>
    <r>
      <rPr>
        <sz val="9"/>
        <color rgb="FF7F7F7F"/>
        <rFont val="WenQuanYi Zen Hei"/>
        <family val="2"/>
      </rPr>
      <t xml:space="preserve">〜</t>
    </r>
    <r>
      <rPr>
        <sz val="9"/>
        <color rgb="FF7F7F7F"/>
        <rFont val="Meiryo UI"/>
        <family val="0"/>
        <charset val="1"/>
      </rPr>
      <t xml:space="preserve">6/30</t>
    </r>
    <r>
      <rPr>
        <sz val="9"/>
        <color rgb="FF7F7F7F"/>
        <rFont val="WenQuanYi Zen Hei"/>
        <family val="2"/>
      </rPr>
      <t xml:space="preserve">（税抜・円）。青字＝資料から転記した数値</t>
    </r>
  </si>
  <si>
    <r>
      <rPr>
        <b val="true"/>
        <sz val="11"/>
        <color rgb="FF1F3864"/>
        <rFont val="WenQuanYi Zen Hei"/>
        <family val="2"/>
      </rPr>
      <t xml:space="preserve">① 飲食売上・原価（</t>
    </r>
    <r>
      <rPr>
        <b val="true"/>
        <sz val="11"/>
        <color rgb="FF1F3864"/>
        <rFont val="Meiryo UI"/>
        <family val="0"/>
        <charset val="1"/>
      </rPr>
      <t xml:space="preserve">2026</t>
    </r>
    <r>
      <rPr>
        <b val="true"/>
        <sz val="11"/>
        <color rgb="FF1F3864"/>
        <rFont val="WenQuanYi Zen Hei"/>
        <family val="2"/>
      </rPr>
      <t xml:space="preserve">年</t>
    </r>
    <r>
      <rPr>
        <b val="true"/>
        <sz val="11"/>
        <color rgb="FF1F3864"/>
        <rFont val="Meiryo UI"/>
        <family val="0"/>
        <charset val="1"/>
      </rPr>
      <t xml:space="preserve">4</t>
    </r>
    <r>
      <rPr>
        <b val="true"/>
        <sz val="11"/>
        <color rgb="FF1F3864"/>
        <rFont val="WenQuanYi Zen Hei"/>
        <family val="2"/>
      </rPr>
      <t xml:space="preserve">〜</t>
    </r>
    <r>
      <rPr>
        <b val="true"/>
        <sz val="11"/>
        <color rgb="FF1F3864"/>
        <rFont val="Meiryo UI"/>
        <family val="0"/>
        <charset val="1"/>
      </rPr>
      <t xml:space="preserve">9</t>
    </r>
    <r>
      <rPr>
        <b val="true"/>
        <sz val="11"/>
        <color rgb="FF1F3864"/>
        <rFont val="WenQuanYi Zen Hei"/>
        <family val="2"/>
      </rPr>
      <t xml:space="preserve">月累計／千円）</t>
    </r>
  </si>
  <si>
    <t xml:space="preserve">項目</t>
  </si>
  <si>
    <t xml:space="preserve">予算</t>
  </si>
  <si>
    <t xml:space="preserve">実績</t>
  </si>
  <si>
    <t xml:space="preserve">予算比</t>
  </si>
  <si>
    <t xml:space="preserve">前期実績</t>
  </si>
  <si>
    <t xml:space="preserve">前期比</t>
  </si>
  <si>
    <t xml:space="preserve">前期差</t>
  </si>
  <si>
    <t xml:space="preserve">飲食売上</t>
  </si>
  <si>
    <t xml:space="preserve">　うちコラボ</t>
  </si>
  <si>
    <t xml:space="preserve">　うちコラボ抜き（食事）</t>
  </si>
  <si>
    <t xml:space="preserve">飲食売上原価</t>
  </si>
  <si>
    <t xml:space="preserve">飲食粗利益</t>
  </si>
  <si>
    <t xml:space="preserve">飲食原価率</t>
  </si>
  <si>
    <t xml:space="preserve">←予算比・前期比はポイント差</t>
  </si>
  <si>
    <t xml:space="preserve">コラボ構成比</t>
  </si>
  <si>
    <r>
      <rPr>
        <sz val="11"/>
        <color rgb="FF000000"/>
        <rFont val="Meiryo UI"/>
        <family val="0"/>
        <charset val="1"/>
      </rPr>
      <t xml:space="preserve">9</t>
    </r>
    <r>
      <rPr>
        <sz val="11"/>
        <color rgb="FF000000"/>
        <rFont val="WenQuanYi Zen Hei"/>
        <family val="2"/>
      </rPr>
      <t xml:space="preserve">月単月 飲食原価率</t>
    </r>
  </si>
  <si>
    <r>
      <rPr>
        <sz val="11"/>
        <color rgb="FF000000"/>
        <rFont val="WenQuanYi Zen Hei"/>
        <family val="2"/>
      </rPr>
      <t xml:space="preserve">予実管理表 </t>
    </r>
    <r>
      <rPr>
        <sz val="11"/>
        <color rgb="FF000000"/>
        <rFont val="Meiryo UI"/>
        <family val="0"/>
        <charset val="1"/>
      </rPr>
      <t xml:space="preserve">9</t>
    </r>
    <r>
      <rPr>
        <sz val="11"/>
        <color rgb="FF000000"/>
        <rFont val="WenQuanYi Zen Hei"/>
        <family val="2"/>
      </rPr>
      <t xml:space="preserve">月単月より</t>
    </r>
  </si>
  <si>
    <r>
      <rPr>
        <b val="true"/>
        <sz val="11"/>
        <color rgb="FF1F3864"/>
        <rFont val="WenQuanYi Zen Hei"/>
        <family val="2"/>
      </rPr>
      <t xml:space="preserve">② 分類別売上（</t>
    </r>
    <r>
      <rPr>
        <b val="true"/>
        <sz val="11"/>
        <color rgb="FF1F3864"/>
        <rFont val="Meiryo UI"/>
        <family val="0"/>
        <charset val="1"/>
      </rPr>
      <t xml:space="preserve">2026</t>
    </r>
    <r>
      <rPr>
        <b val="true"/>
        <sz val="11"/>
        <color rgb="FF1F3864"/>
        <rFont val="WenQuanYi Zen Hei"/>
        <family val="2"/>
      </rPr>
      <t xml:space="preserve">年</t>
    </r>
    <r>
      <rPr>
        <b val="true"/>
        <sz val="11"/>
        <color rgb="FF1F3864"/>
        <rFont val="Meiryo UI"/>
        <family val="0"/>
        <charset val="1"/>
      </rPr>
      <t xml:space="preserve">4</t>
    </r>
    <r>
      <rPr>
        <b val="true"/>
        <sz val="11"/>
        <color rgb="FF1F3864"/>
        <rFont val="WenQuanYi Zen Hei"/>
        <family val="2"/>
      </rPr>
      <t xml:space="preserve">〜</t>
    </r>
    <r>
      <rPr>
        <b val="true"/>
        <sz val="11"/>
        <color rgb="FF1F3864"/>
        <rFont val="Meiryo UI"/>
        <family val="0"/>
        <charset val="1"/>
      </rPr>
      <t xml:space="preserve">6</t>
    </r>
    <r>
      <rPr>
        <b val="true"/>
        <sz val="11"/>
        <color rgb="FF1F3864"/>
        <rFont val="WenQuanYi Zen Hei"/>
        <family val="2"/>
      </rPr>
      <t xml:space="preserve">月／税抜・円）</t>
    </r>
  </si>
  <si>
    <t xml:space="preserve">分類</t>
  </si>
  <si>
    <t xml:space="preserve">数量</t>
  </si>
  <si>
    <t xml:space="preserve">金額</t>
  </si>
  <si>
    <t xml:space="preserve">前年数量</t>
  </si>
  <si>
    <t xml:space="preserve">前年金額</t>
  </si>
  <si>
    <t xml:space="preserve">金額 前年比</t>
  </si>
  <si>
    <t xml:space="preserve">数量 前年比</t>
  </si>
  <si>
    <t xml:space="preserve">アルコール</t>
  </si>
  <si>
    <t xml:space="preserve">ソフトドリンク</t>
  </si>
  <si>
    <t xml:space="preserve">麺類</t>
  </si>
  <si>
    <t xml:space="preserve">ご飯類</t>
  </si>
  <si>
    <t xml:space="preserve">一品料理</t>
  </si>
  <si>
    <t xml:space="preserve">デザート類</t>
  </si>
  <si>
    <t xml:space="preserve">ランチ</t>
  </si>
  <si>
    <t xml:space="preserve">その他飲食</t>
  </si>
  <si>
    <t xml:space="preserve">セレクト</t>
  </si>
  <si>
    <t xml:space="preserve">飲食（コラボ）</t>
  </si>
  <si>
    <t xml:space="preserve">コラボ抜き 小計</t>
  </si>
  <si>
    <t xml:space="preserve">飲食 合計</t>
  </si>
  <si>
    <r>
      <rPr>
        <b val="true"/>
        <sz val="11"/>
        <color rgb="FF1F3864"/>
        <rFont val="WenQuanYi Zen Hei"/>
        <family val="2"/>
      </rPr>
      <t xml:space="preserve">③ 客数・客単価（</t>
    </r>
    <r>
      <rPr>
        <b val="true"/>
        <sz val="11"/>
        <color rgb="FF1F3864"/>
        <rFont val="Meiryo UI"/>
        <family val="0"/>
        <charset val="1"/>
      </rPr>
      <t xml:space="preserve">2026</t>
    </r>
    <r>
      <rPr>
        <b val="true"/>
        <sz val="11"/>
        <color rgb="FF1F3864"/>
        <rFont val="WenQuanYi Zen Hei"/>
        <family val="2"/>
      </rPr>
      <t xml:space="preserve">年</t>
    </r>
    <r>
      <rPr>
        <b val="true"/>
        <sz val="11"/>
        <color rgb="FF1F3864"/>
        <rFont val="Meiryo UI"/>
        <family val="0"/>
        <charset val="1"/>
      </rPr>
      <t xml:space="preserve">4</t>
    </r>
    <r>
      <rPr>
        <b val="true"/>
        <sz val="11"/>
        <color rgb="FF1F3864"/>
        <rFont val="WenQuanYi Zen Hei"/>
        <family val="2"/>
      </rPr>
      <t xml:space="preserve">〜</t>
    </r>
    <r>
      <rPr>
        <b val="true"/>
        <sz val="11"/>
        <color rgb="FF1F3864"/>
        <rFont val="Meiryo UI"/>
        <family val="0"/>
        <charset val="1"/>
      </rPr>
      <t xml:space="preserve">6</t>
    </r>
    <r>
      <rPr>
        <b val="true"/>
        <sz val="11"/>
        <color rgb="FF1F3864"/>
        <rFont val="WenQuanYi Zen Hei"/>
        <family val="2"/>
      </rPr>
      <t xml:space="preserve">月）</t>
    </r>
  </si>
  <si>
    <t xml:space="preserve">前年同日</t>
  </si>
  <si>
    <t xml:space="preserve">前年比</t>
  </si>
  <si>
    <t xml:space="preserve">飲食者数（人）</t>
  </si>
  <si>
    <t xml:space="preserve">飲食客単価（円）</t>
  </si>
  <si>
    <t xml:space="preserve">入館者数（人）</t>
  </si>
  <si>
    <t xml:space="preserve">アルコール注文率（杯／飲食者）</t>
  </si>
  <si>
    <t xml:space="preserve">アルコール平均単価（円）</t>
  </si>
  <si>
    <t xml:space="preserve">分類別 値上げ率と理論原価率（コラボ以外）</t>
  </si>
  <si>
    <r>
      <rPr>
        <sz val="9"/>
        <color rgb="FF7F7F7F"/>
        <rFont val="WenQuanYi Zen Hei"/>
        <family val="2"/>
      </rPr>
      <t xml:space="preserve">値上げ率・理論原価率＝メニュー原価一覧（最新版）の品目を期間報の分類に振り分けた単純平均。売上金額＝期間報 </t>
    </r>
    <r>
      <rPr>
        <sz val="9"/>
        <color rgb="FF7F7F7F"/>
        <rFont val="Meiryo UI"/>
        <family val="0"/>
        <charset val="1"/>
      </rPr>
      <t xml:space="preserve">2026/4</t>
    </r>
    <r>
      <rPr>
        <sz val="9"/>
        <color rgb="FF7F7F7F"/>
        <rFont val="WenQuanYi Zen Hei"/>
        <family val="2"/>
      </rPr>
      <t xml:space="preserve">〜</t>
    </r>
    <r>
      <rPr>
        <sz val="9"/>
        <color rgb="FF7F7F7F"/>
        <rFont val="Meiryo UI"/>
        <family val="0"/>
        <charset val="1"/>
      </rPr>
      <t xml:space="preserve">6</t>
    </r>
    <r>
      <rPr>
        <sz val="9"/>
        <color rgb="FF7F7F7F"/>
        <rFont val="WenQuanYi Zen Hei"/>
        <family val="2"/>
      </rPr>
      <t xml:space="preserve">月（税抜）</t>
    </r>
  </si>
  <si>
    <t xml:space="preserve">期間報の分類</t>
  </si>
  <si>
    <t xml:space="preserve">対象メニュー分類</t>
  </si>
  <si>
    <t xml:space="preserve">品数</t>
  </si>
  <si>
    <t xml:space="preserve">うち値上げ</t>
  </si>
  <si>
    <t xml:space="preserve">平均値上げ率（税抜）</t>
  </si>
  <si>
    <t xml:space="preserve">理論原価率 改定前</t>
  </si>
  <si>
    <t xml:space="preserve">理論原価率 改定後</t>
  </si>
  <si>
    <r>
      <rPr>
        <b val="true"/>
        <sz val="11"/>
        <color rgb="FFFFFFFF"/>
        <rFont val="Meiryo UI"/>
        <family val="0"/>
        <charset val="1"/>
      </rPr>
      <t xml:space="preserve">4</t>
    </r>
    <r>
      <rPr>
        <b val="true"/>
        <sz val="11"/>
        <color rgb="FFFFFFFF"/>
        <rFont val="WenQuanYi Zen Hei"/>
        <family val="2"/>
      </rPr>
      <t xml:space="preserve">〜</t>
    </r>
    <r>
      <rPr>
        <b val="true"/>
        <sz val="11"/>
        <color rgb="FFFFFFFF"/>
        <rFont val="Meiryo UI"/>
        <family val="0"/>
        <charset val="1"/>
      </rPr>
      <t xml:space="preserve">6</t>
    </r>
    <r>
      <rPr>
        <b val="true"/>
        <sz val="11"/>
        <color rgb="FFFFFFFF"/>
        <rFont val="WenQuanYi Zen Hei"/>
        <family val="2"/>
      </rPr>
      <t xml:space="preserve">月売上（税抜・円）</t>
    </r>
  </si>
  <si>
    <t xml:space="preserve">売上構成比</t>
  </si>
  <si>
    <r>
      <rPr>
        <sz val="11"/>
        <color rgb="FF000000"/>
        <rFont val="WenQuanYi Zen Hei"/>
        <family val="2"/>
      </rPr>
      <t xml:space="preserve">ビール</t>
    </r>
    <r>
      <rPr>
        <sz val="11"/>
        <color rgb="FF000000"/>
        <rFont val="Meiryo UI"/>
        <family val="0"/>
        <charset val="1"/>
      </rPr>
      <t xml:space="preserve">/</t>
    </r>
    <r>
      <rPr>
        <sz val="11"/>
        <color rgb="FF000000"/>
        <rFont val="WenQuanYi Zen Hei"/>
        <family val="2"/>
      </rPr>
      <t xml:space="preserve">ハイボール</t>
    </r>
    <r>
      <rPr>
        <sz val="11"/>
        <color rgb="FF000000"/>
        <rFont val="Meiryo UI"/>
        <family val="0"/>
        <charset val="1"/>
      </rPr>
      <t xml:space="preserve">/</t>
    </r>
    <r>
      <rPr>
        <sz val="11"/>
        <color rgb="FF000000"/>
        <rFont val="WenQuanYi Zen Hei"/>
        <family val="2"/>
      </rPr>
      <t xml:space="preserve">サワー</t>
    </r>
    <r>
      <rPr>
        <sz val="11"/>
        <color rgb="FF000000"/>
        <rFont val="Meiryo UI"/>
        <family val="0"/>
        <charset val="1"/>
      </rPr>
      <t xml:space="preserve">/</t>
    </r>
    <r>
      <rPr>
        <sz val="11"/>
        <color rgb="FF000000"/>
        <rFont val="WenQuanYi Zen Hei"/>
        <family val="2"/>
      </rPr>
      <t xml:space="preserve">カクテル・焼酎</t>
    </r>
    <r>
      <rPr>
        <sz val="11"/>
        <color rgb="FF000000"/>
        <rFont val="Meiryo UI"/>
        <family val="0"/>
        <charset val="1"/>
      </rPr>
      <t xml:space="preserve">/</t>
    </r>
    <r>
      <rPr>
        <sz val="11"/>
        <color rgb="FF000000"/>
        <rFont val="WenQuanYi Zen Hei"/>
        <family val="2"/>
      </rPr>
      <t xml:space="preserve">ワイン</t>
    </r>
    <r>
      <rPr>
        <sz val="11"/>
        <color rgb="FF000000"/>
        <rFont val="Meiryo UI"/>
        <family val="0"/>
        <charset val="1"/>
      </rPr>
      <t xml:space="preserve">/</t>
    </r>
    <r>
      <rPr>
        <sz val="11"/>
        <color rgb="FF000000"/>
        <rFont val="WenQuanYi Zen Hei"/>
        <family val="2"/>
      </rPr>
      <t xml:space="preserve">セット</t>
    </r>
  </si>
  <si>
    <r>
      <rPr>
        <sz val="11"/>
        <color rgb="FF000000"/>
        <rFont val="WenQuanYi Zen Hei"/>
        <family val="2"/>
      </rPr>
      <t xml:space="preserve">ソフトドリンク</t>
    </r>
    <r>
      <rPr>
        <sz val="11"/>
        <color rgb="FF000000"/>
        <rFont val="Meiryo UI"/>
        <family val="0"/>
        <charset val="1"/>
      </rPr>
      <t xml:space="preserve">/</t>
    </r>
    <r>
      <rPr>
        <sz val="11"/>
        <color rgb="FF000000"/>
        <rFont val="WenQuanYi Zen Hei"/>
        <family val="2"/>
      </rPr>
      <t xml:space="preserve">フロート</t>
    </r>
  </si>
  <si>
    <r>
      <rPr>
        <sz val="11"/>
        <color rgb="FF000000"/>
        <rFont val="WenQuanYi Zen Hei"/>
        <family val="2"/>
      </rPr>
      <t xml:space="preserve">うどん</t>
    </r>
    <r>
      <rPr>
        <sz val="11"/>
        <color rgb="FF000000"/>
        <rFont val="Meiryo UI"/>
        <family val="0"/>
        <charset val="1"/>
      </rPr>
      <t xml:space="preserve">/</t>
    </r>
    <r>
      <rPr>
        <sz val="11"/>
        <color rgb="FF000000"/>
        <rFont val="WenQuanYi Zen Hei"/>
        <family val="2"/>
      </rPr>
      <t xml:space="preserve">パスタ</t>
    </r>
  </si>
  <si>
    <r>
      <rPr>
        <sz val="11"/>
        <color rgb="FF000000"/>
        <rFont val="WenQuanYi Zen Hei"/>
        <family val="2"/>
      </rPr>
      <t xml:space="preserve">カレー</t>
    </r>
    <r>
      <rPr>
        <sz val="11"/>
        <color rgb="FF000000"/>
        <rFont val="Meiryo UI"/>
        <family val="0"/>
        <charset val="1"/>
      </rPr>
      <t xml:space="preserve">/</t>
    </r>
    <r>
      <rPr>
        <sz val="11"/>
        <color rgb="FF000000"/>
        <rFont val="WenQuanYi Zen Hei"/>
        <family val="2"/>
      </rPr>
      <t xml:space="preserve">リゾット・煮込み</t>
    </r>
    <r>
      <rPr>
        <sz val="11"/>
        <color rgb="FF000000"/>
        <rFont val="Meiryo UI"/>
        <family val="0"/>
        <charset val="1"/>
      </rPr>
      <t xml:space="preserve">/</t>
    </r>
    <r>
      <rPr>
        <sz val="11"/>
        <color rgb="FF000000"/>
        <rFont val="WenQuanYi Zen Hei"/>
        <family val="2"/>
      </rPr>
      <t xml:space="preserve">肉料理・プレート</t>
    </r>
    <r>
      <rPr>
        <sz val="11"/>
        <color rgb="FF000000"/>
        <rFont val="Meiryo UI"/>
        <family val="0"/>
        <charset val="1"/>
      </rPr>
      <t xml:space="preserve">/</t>
    </r>
    <r>
      <rPr>
        <sz val="11"/>
        <color rgb="FF000000"/>
        <rFont val="WenQuanYi Zen Hei"/>
        <family val="2"/>
      </rPr>
      <t xml:space="preserve">ベジボウル</t>
    </r>
    <r>
      <rPr>
        <sz val="11"/>
        <color rgb="FF000000"/>
        <rFont val="Meiryo UI"/>
        <family val="0"/>
        <charset val="1"/>
      </rPr>
      <t xml:space="preserve">/</t>
    </r>
    <r>
      <rPr>
        <sz val="11"/>
        <color rgb="FF000000"/>
        <rFont val="WenQuanYi Zen Hei"/>
        <family val="2"/>
      </rPr>
      <t xml:space="preserve">ごはん・パン</t>
    </r>
    <r>
      <rPr>
        <sz val="11"/>
        <color rgb="FF000000"/>
        <rFont val="Meiryo UI"/>
        <family val="0"/>
        <charset val="1"/>
      </rPr>
      <t xml:space="preserve">/</t>
    </r>
    <r>
      <rPr>
        <sz val="11"/>
        <color rgb="FF000000"/>
        <rFont val="WenQuanYi Zen Hei"/>
        <family val="2"/>
      </rPr>
      <t xml:space="preserve">ディッシュ</t>
    </r>
  </si>
  <si>
    <r>
      <rPr>
        <sz val="11"/>
        <color rgb="FF000000"/>
        <rFont val="WenQuanYi Zen Hei"/>
        <family val="2"/>
      </rPr>
      <t xml:space="preserve">冷製・温製おつまみ</t>
    </r>
    <r>
      <rPr>
        <sz val="11"/>
        <color rgb="FF000000"/>
        <rFont val="Meiryo UI"/>
        <family val="0"/>
        <charset val="1"/>
      </rPr>
      <t xml:space="preserve">/</t>
    </r>
    <r>
      <rPr>
        <sz val="11"/>
        <color rgb="FF000000"/>
        <rFont val="WenQuanYi Zen Hei"/>
        <family val="2"/>
      </rPr>
      <t xml:space="preserve">ピザ</t>
    </r>
    <r>
      <rPr>
        <sz val="11"/>
        <color rgb="FF000000"/>
        <rFont val="Meiryo UI"/>
        <family val="0"/>
        <charset val="1"/>
      </rPr>
      <t xml:space="preserve">/</t>
    </r>
    <r>
      <rPr>
        <sz val="11"/>
        <color rgb="FF000000"/>
        <rFont val="WenQuanYi Zen Hei"/>
        <family val="2"/>
      </rPr>
      <t xml:space="preserve">トルティーヤ</t>
    </r>
    <r>
      <rPr>
        <sz val="11"/>
        <color rgb="FF000000"/>
        <rFont val="Meiryo UI"/>
        <family val="0"/>
        <charset val="1"/>
      </rPr>
      <t xml:space="preserve">/</t>
    </r>
    <r>
      <rPr>
        <sz val="11"/>
        <color rgb="FF000000"/>
        <rFont val="WenQuanYi Zen Hei"/>
        <family val="2"/>
      </rPr>
      <t xml:space="preserve">サラダ</t>
    </r>
  </si>
  <si>
    <t xml:space="preserve">デザート</t>
  </si>
  <si>
    <t xml:space="preserve">加重平均（売上構成比で加重）</t>
  </si>
  <si>
    <t xml:space="preserve">※ 品目別の販売数データがないため、分類内は単純平均。品目別の販売数が分かれば精度が上がります。</t>
  </si>
  <si>
    <r>
      <rPr>
        <sz val="9"/>
        <color rgb="FF595959"/>
        <rFont val="WenQuanYi Zen Hei"/>
        <family val="2"/>
      </rPr>
      <t xml:space="preserve">※ 理論原価率（約</t>
    </r>
    <r>
      <rPr>
        <sz val="9"/>
        <color rgb="FF595959"/>
        <rFont val="Meiryo UI"/>
        <family val="0"/>
        <charset val="1"/>
      </rPr>
      <t xml:space="preserve">30%</t>
    </r>
    <r>
      <rPr>
        <sz val="9"/>
        <color rgb="FF595959"/>
        <rFont val="WenQuanYi Zen Hei"/>
        <family val="2"/>
      </rPr>
      <t xml:space="preserve">）と実績原価率（</t>
    </r>
    <r>
      <rPr>
        <sz val="9"/>
        <color rgb="FF595959"/>
        <rFont val="Meiryo UI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現状と課題</t>
    </r>
    <r>
      <rPr>
        <sz val="9"/>
        <color rgb="FF595959"/>
        <rFont val="Meiryo UI"/>
        <family val="0"/>
        <charset val="1"/>
      </rPr>
      <t xml:space="preserve">'</t>
    </r>
    <r>
      <rPr>
        <sz val="9"/>
        <color rgb="FF595959"/>
        <rFont val="WenQuanYi Zen Hei"/>
        <family val="2"/>
      </rPr>
      <t xml:space="preserve">の約</t>
    </r>
    <r>
      <rPr>
        <sz val="9"/>
        <color rgb="FF595959"/>
        <rFont val="Meiryo UI"/>
        <family val="0"/>
        <charset val="1"/>
      </rPr>
      <t xml:space="preserve">36%</t>
    </r>
    <r>
      <rPr>
        <sz val="9"/>
        <color rgb="FF595959"/>
        <rFont val="WenQuanYi Zen Hei"/>
        <family val="2"/>
      </rPr>
      <t xml:space="preserve">）の差は、ロス・盛り付け量・棚卸差、またはコラボ食材の計上区分の影響が考えられます。</t>
    </r>
  </si>
  <si>
    <t xml:space="preserve">値上げ後の売上・粗利想定（コラボ抜き＝食事売上）</t>
  </si>
  <si>
    <t xml:space="preserve">黄色セル＝前提条件（変更すると全体が再計算されます）</t>
  </si>
  <si>
    <t xml:space="preserve">前提条件</t>
  </si>
  <si>
    <r>
      <rPr>
        <sz val="11"/>
        <color rgb="FF000000"/>
        <rFont val="WenQuanYi Zen Hei"/>
        <family val="2"/>
      </rPr>
      <t xml:space="preserve">コラボ抜き売上 </t>
    </r>
    <r>
      <rPr>
        <sz val="11"/>
        <color rgb="FF000000"/>
        <rFont val="Meiryo UI"/>
        <family val="0"/>
        <charset val="1"/>
      </rPr>
      <t xml:space="preserve">4</t>
    </r>
    <r>
      <rPr>
        <sz val="11"/>
        <color rgb="FF000000"/>
        <rFont val="WenQuanYi Zen Hei"/>
        <family val="2"/>
      </rPr>
      <t xml:space="preserve">〜</t>
    </r>
    <r>
      <rPr>
        <sz val="11"/>
        <color rgb="FF000000"/>
        <rFont val="Meiryo UI"/>
        <family val="0"/>
        <charset val="1"/>
      </rPr>
      <t xml:space="preserve">9</t>
    </r>
    <r>
      <rPr>
        <sz val="11"/>
        <color rgb="FF000000"/>
        <rFont val="WenQuanYi Zen Hei"/>
        <family val="2"/>
      </rPr>
      <t xml:space="preserve">月実績（千円）</t>
    </r>
  </si>
  <si>
    <r>
      <rPr>
        <sz val="9"/>
        <color rgb="FF595959"/>
        <rFont val="WenQuanYi Zen Hei"/>
        <family val="2"/>
      </rPr>
      <t xml:space="preserve">予実管理表 </t>
    </r>
    <r>
      <rPr>
        <sz val="9"/>
        <color rgb="FF595959"/>
        <rFont val="Meiryo UI"/>
        <family val="0"/>
        <charset val="1"/>
      </rPr>
      <t xml:space="preserve">9</t>
    </r>
    <r>
      <rPr>
        <sz val="9"/>
        <color rgb="FF595959"/>
        <rFont val="WenQuanYi Zen Hei"/>
        <family val="2"/>
      </rPr>
      <t xml:space="preserve">月 累計「食事」</t>
    </r>
  </si>
  <si>
    <t xml:space="preserve">年間換算ベース売上（千円）</t>
  </si>
  <si>
    <r>
      <rPr>
        <sz val="9"/>
        <color rgb="FF595959"/>
        <rFont val="WenQuanYi Zen Hei"/>
        <family val="2"/>
      </rPr>
      <t xml:space="preserve">上期</t>
    </r>
    <r>
      <rPr>
        <sz val="9"/>
        <color rgb="FF595959"/>
        <rFont val="Meiryo UI"/>
        <family val="0"/>
        <charset val="1"/>
      </rPr>
      <t xml:space="preserve">×2</t>
    </r>
    <r>
      <rPr>
        <sz val="9"/>
        <color rgb="FF595959"/>
        <rFont val="WenQuanYi Zen Hei"/>
        <family val="2"/>
      </rPr>
      <t xml:space="preserve">で年換算</t>
    </r>
  </si>
  <si>
    <t xml:space="preserve">平均値上げ率（税抜・加重）</t>
  </si>
  <si>
    <t xml:space="preserve">分類別値上げ率シートより</t>
  </si>
  <si>
    <t xml:space="preserve">原価率（実績）</t>
  </si>
  <si>
    <r>
      <rPr>
        <sz val="9"/>
        <color rgb="FF595959"/>
        <rFont val="Meiryo UI"/>
        <family val="0"/>
        <charset val="1"/>
      </rPr>
      <t xml:space="preserve">4</t>
    </r>
    <r>
      <rPr>
        <sz val="9"/>
        <color rgb="FF595959"/>
        <rFont val="WenQuanYi Zen Hei"/>
        <family val="2"/>
      </rPr>
      <t xml:space="preserve">〜</t>
    </r>
    <r>
      <rPr>
        <sz val="9"/>
        <color rgb="FF595959"/>
        <rFont val="Meiryo UI"/>
        <family val="0"/>
        <charset val="1"/>
      </rPr>
      <t xml:space="preserve">9</t>
    </r>
    <r>
      <rPr>
        <sz val="9"/>
        <color rgb="FF595959"/>
        <rFont val="WenQuanYi Zen Hei"/>
        <family val="2"/>
      </rPr>
      <t xml:space="preserve">月の飲食原価率。値上げ後も</t>
    </r>
    <r>
      <rPr>
        <sz val="9"/>
        <color rgb="FF595959"/>
        <rFont val="Meiryo UI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品あたり原価は不変と仮定</t>
    </r>
  </si>
  <si>
    <t xml:space="preserve">粗利が値上げ前と同じになる数量減（損益分岐）</t>
  </si>
  <si>
    <t xml:space="preserve">この割合まで販売数が減っても粗利額は減らない</t>
  </si>
  <si>
    <t xml:space="preserve">売上が値上げ前と同じになる数量減</t>
  </si>
  <si>
    <t xml:space="preserve">シナリオ別 年間想定（千円）</t>
  </si>
  <si>
    <t xml:space="preserve">シナリオ</t>
  </si>
  <si>
    <t xml:space="preserve">販売数の変化</t>
  </si>
  <si>
    <t xml:space="preserve">年間売上（値上げ後）</t>
  </si>
  <si>
    <t xml:space="preserve">売上増減</t>
  </si>
  <si>
    <t xml:space="preserve">年間粗利（値上げ後）</t>
  </si>
  <si>
    <t xml:space="preserve">粗利増減</t>
  </si>
  <si>
    <r>
      <rPr>
        <b val="true"/>
        <sz val="11"/>
        <color rgb="FFFFFFFF"/>
        <rFont val="WenQuanYi Zen Hei"/>
        <family val="2"/>
      </rPr>
      <t xml:space="preserve">半期（</t>
    </r>
    <r>
      <rPr>
        <b val="true"/>
        <sz val="11"/>
        <color rgb="FFFFFFFF"/>
        <rFont val="Meiryo UI"/>
        <family val="0"/>
        <charset val="1"/>
      </rPr>
      <t xml:space="preserve">6</t>
    </r>
    <r>
      <rPr>
        <b val="true"/>
        <sz val="11"/>
        <color rgb="FFFFFFFF"/>
        <rFont val="WenQuanYi Zen Hei"/>
        <family val="2"/>
      </rPr>
      <t xml:space="preserve">か月）売上増減</t>
    </r>
  </si>
  <si>
    <t xml:space="preserve">半期 粗利増減</t>
  </si>
  <si>
    <t xml:space="preserve">値上げ前（ベース）</t>
  </si>
  <si>
    <t xml:space="preserve">客離れなし</t>
  </si>
  <si>
    <t xml:space="preserve">やや減少</t>
  </si>
  <si>
    <t xml:space="preserve">想定（標準）</t>
  </si>
  <si>
    <t xml:space="preserve">慎重</t>
  </si>
  <si>
    <t xml:space="preserve">値上げ後の飲食原価率（想定）</t>
  </si>
  <si>
    <t xml:space="preserve">同じ原価で売価だけ上がった場合の原価率（コラボ抜き）</t>
  </si>
  <si>
    <t xml:space="preserve">※ コラボ売上は値上げ対象外のため含めていません。</t>
  </si>
  <si>
    <r>
      <rPr>
        <sz val="9"/>
        <color rgb="FF595959"/>
        <rFont val="WenQuanYi Zen Hei"/>
        <family val="2"/>
      </rPr>
      <t xml:space="preserve">※ 販売数の変化は仮定です。値上げ後</t>
    </r>
    <r>
      <rPr>
        <sz val="9"/>
        <color rgb="FF595959"/>
        <rFont val="Meiryo UI"/>
        <family val="0"/>
        <charset val="1"/>
      </rPr>
      <t xml:space="preserve">1</t>
    </r>
    <r>
      <rPr>
        <sz val="9"/>
        <color rgb="FF595959"/>
        <rFont val="WenQuanYi Zen Hei"/>
        <family val="2"/>
      </rPr>
      <t xml:space="preserve">〜</t>
    </r>
    <r>
      <rPr>
        <sz val="9"/>
        <color rgb="FF595959"/>
        <rFont val="Meiryo UI"/>
        <family val="0"/>
        <charset val="1"/>
      </rPr>
      <t xml:space="preserve">2</t>
    </r>
    <r>
      <rPr>
        <sz val="9"/>
        <color rgb="FF595959"/>
        <rFont val="WenQuanYi Zen Hei"/>
        <family val="2"/>
      </rPr>
      <t xml:space="preserve">か月の実績で見直してください。</t>
    </r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</si>
</sst>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.0%"/>
    <numFmt numFmtId="167" formatCode="\+#,##0;\-#,##0;0"/>
    <numFmt numFmtId="168" formatCode="\+0.0&quot;pt&quot;;\-0.0&quot;pt&quot;;0.0&quot;pt&quot;"/>
    <numFmt numFmtId="169" formatCode="0.00"/>
    <numFmt numFmtId="170" formatCode="0"/>
    <numFmt numFmtId="171" formatCode="\+0.0%;\-0.0%;0.0%"/>
    <numFmt numFmtId="172" formatCode="#,##0&quot; 千円&quot;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Meiryo UI"/>
      <family val="0"/>
      <charset val="1"/>
    </font>
    <font>
      <b val="true"/>
      <sz val="14"/>
      <color rgb="FF1F3864"/>
      <name val="WenQuanYi Zen Hei"/>
      <family val="2"/>
    </font>
    <font>
      <sz val="9"/>
      <color rgb="FF7F7F7F"/>
      <name val="WenQuanYi Zen Hei"/>
      <family val="2"/>
    </font>
    <font>
      <sz val="9"/>
      <color rgb="FF7F7F7F"/>
      <name val="Meiryo UI"/>
      <family val="0"/>
      <charset val="1"/>
    </font>
    <font>
      <b val="true"/>
      <sz val="11"/>
      <color rgb="FF1F3864"/>
      <name val="WenQuanYi Zen Hei"/>
      <family val="2"/>
    </font>
    <font>
      <b val="true"/>
      <sz val="11"/>
      <color rgb="FF1F3864"/>
      <name val="Meiryo UI"/>
      <family val="0"/>
      <charset val="1"/>
    </font>
    <font>
      <b val="true"/>
      <sz val="11"/>
      <color rgb="FFFFFFFF"/>
      <name val="WenQuanYi Zen Hei"/>
      <family val="2"/>
    </font>
    <font>
      <sz val="11"/>
      <color rgb="FF000000"/>
      <name val="WenQuanYi Zen Hei"/>
      <family val="2"/>
    </font>
    <font>
      <sz val="11"/>
      <color rgb="FF0000FF"/>
      <name val="Meiryo UI"/>
      <family val="0"/>
      <charset val="1"/>
    </font>
    <font>
      <sz val="11"/>
      <color rgb="FF000000"/>
      <name val="Meiryo UI"/>
      <family val="0"/>
      <charset val="1"/>
    </font>
    <font>
      <b val="true"/>
      <sz val="11"/>
      <color rgb="FF000000"/>
      <name val="WenQuanYi Zen Hei"/>
      <family val="2"/>
    </font>
    <font>
      <b val="true"/>
      <sz val="11"/>
      <color rgb="FF000000"/>
      <name val="Meiryo UI"/>
      <family val="0"/>
      <charset val="1"/>
    </font>
    <font>
      <b val="true"/>
      <sz val="11"/>
      <color rgb="FFFFFFFF"/>
      <name val="Meiryo UI"/>
      <family val="0"/>
      <charset val="1"/>
    </font>
    <font>
      <sz val="11"/>
      <color rgb="FF008000"/>
      <name val="Meiryo UI"/>
      <family val="0"/>
      <charset val="1"/>
    </font>
    <font>
      <sz val="9"/>
      <color rgb="FF595959"/>
      <name val="WenQuanYi Zen Hei"/>
      <family val="2"/>
    </font>
    <font>
      <sz val="9"/>
      <color rgb="FF595959"/>
      <name val="Meiryo U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E2F0D9"/>
      </patternFill>
    </fill>
    <fill>
      <patternFill patternType="solid">
        <fgColor rgb="FFE2F0D9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3"/>
    <col collapsed="false" customWidth="true" hidden="false" outlineLevel="0" max="7" min="7" style="0" width="22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</row>
    <row r="6" customFormat="false" ht="15" hidden="false" customHeight="false" outlineLevel="0" collapsed="false">
      <c r="A6" s="5" t="s">
        <v>10</v>
      </c>
      <c r="B6" s="6" t="n">
        <v>61825.8</v>
      </c>
      <c r="C6" s="6" t="n">
        <v>54943.4</v>
      </c>
      <c r="D6" s="7" t="n">
        <f aca="false">C6/B6</f>
        <v>0.888680777280682</v>
      </c>
      <c r="E6" s="6" t="n">
        <v>68259.9</v>
      </c>
      <c r="F6" s="7" t="n">
        <f aca="false">C6/E6</f>
        <v>0.804914744967397</v>
      </c>
      <c r="G6" s="8" t="n">
        <f aca="false">C6-E6</f>
        <v>-13316.5</v>
      </c>
    </row>
    <row r="7" customFormat="false" ht="15" hidden="false" customHeight="false" outlineLevel="0" collapsed="false">
      <c r="A7" s="5" t="s">
        <v>11</v>
      </c>
      <c r="B7" s="6" t="n">
        <v>33007</v>
      </c>
      <c r="C7" s="6" t="n">
        <v>25737.2</v>
      </c>
      <c r="D7" s="7" t="n">
        <f aca="false">C7/B7</f>
        <v>0.779749750053019</v>
      </c>
      <c r="E7" s="6" t="n">
        <v>38650.2</v>
      </c>
      <c r="F7" s="7" t="n">
        <f aca="false">C7/E7</f>
        <v>0.665900823281639</v>
      </c>
      <c r="G7" s="8" t="n">
        <f aca="false">C7-E7</f>
        <v>-12913</v>
      </c>
    </row>
    <row r="8" customFormat="false" ht="15" hidden="false" customHeight="false" outlineLevel="0" collapsed="false">
      <c r="A8" s="5" t="s">
        <v>12</v>
      </c>
      <c r="B8" s="6" t="n">
        <v>28818.8</v>
      </c>
      <c r="C8" s="6" t="n">
        <v>29206.2</v>
      </c>
      <c r="D8" s="7" t="n">
        <f aca="false">C8/B8</f>
        <v>1.01344261384929</v>
      </c>
      <c r="E8" s="6" t="n">
        <v>29609.7</v>
      </c>
      <c r="F8" s="7" t="n">
        <f aca="false">C8/E8</f>
        <v>0.986372708943353</v>
      </c>
      <c r="G8" s="8" t="n">
        <f aca="false">C8-E8</f>
        <v>-403.5</v>
      </c>
    </row>
    <row r="9" customFormat="false" ht="15" hidden="false" customHeight="false" outlineLevel="0" collapsed="false">
      <c r="A9" s="5" t="s">
        <v>13</v>
      </c>
      <c r="B9" s="6" t="n">
        <v>20648.8</v>
      </c>
      <c r="C9" s="6" t="n">
        <v>20011.7</v>
      </c>
      <c r="D9" s="7" t="n">
        <f aca="false">C9/B9</f>
        <v>0.969145906783929</v>
      </c>
      <c r="E9" s="6" t="n">
        <v>22344.5</v>
      </c>
      <c r="F9" s="7" t="n">
        <f aca="false">C9/E9</f>
        <v>0.895598469422006</v>
      </c>
      <c r="G9" s="8" t="n">
        <f aca="false">C9-E9</f>
        <v>-2332.8</v>
      </c>
    </row>
    <row r="10" customFormat="false" ht="15" hidden="false" customHeight="false" outlineLevel="0" collapsed="false">
      <c r="A10" s="5" t="s">
        <v>14</v>
      </c>
      <c r="B10" s="6" t="n">
        <v>41177</v>
      </c>
      <c r="C10" s="6" t="n">
        <v>34931.8</v>
      </c>
      <c r="D10" s="7" t="n">
        <f aca="false">C10/B10</f>
        <v>0.848332807149622</v>
      </c>
      <c r="E10" s="6" t="n">
        <v>45915.4</v>
      </c>
      <c r="F10" s="7" t="n">
        <f aca="false">C10/E10</f>
        <v>0.760786141468875</v>
      </c>
      <c r="G10" s="8" t="n">
        <f aca="false">C10-E10</f>
        <v>-10983.6</v>
      </c>
    </row>
    <row r="11" customFormat="false" ht="15" hidden="false" customHeight="false" outlineLevel="0" collapsed="false">
      <c r="A11" s="9" t="s">
        <v>15</v>
      </c>
      <c r="B11" s="10" t="n">
        <f aca="false">B9/B6</f>
        <v>0.333983547321668</v>
      </c>
      <c r="C11" s="11" t="n">
        <f aca="false">C9/C6</f>
        <v>0.364223910424182</v>
      </c>
      <c r="D11" s="12" t="n">
        <f aca="false">(C11-B11)*100</f>
        <v>3.02403631025137</v>
      </c>
      <c r="E11" s="10" t="n">
        <f aca="false">E9/E6</f>
        <v>0.327344458459506</v>
      </c>
      <c r="F11" s="12" t="n">
        <f aca="false">(C11-E11)*100</f>
        <v>3.68794519646765</v>
      </c>
      <c r="G11" s="13" t="s">
        <v>16</v>
      </c>
    </row>
    <row r="12" customFormat="false" ht="15" hidden="false" customHeight="false" outlineLevel="0" collapsed="false">
      <c r="A12" s="5" t="s">
        <v>17</v>
      </c>
      <c r="B12" s="7" t="n">
        <f aca="false">B7/B6</f>
        <v>0.533870972959509</v>
      </c>
      <c r="C12" s="7" t="n">
        <f aca="false">C7/C6</f>
        <v>0.468431149146212</v>
      </c>
      <c r="D12" s="14" t="n">
        <f aca="false">(C12-B12)*100</f>
        <v>-6.54398238132965</v>
      </c>
      <c r="E12" s="7" t="n">
        <f aca="false">E7/E6</f>
        <v>0.566221163523533</v>
      </c>
      <c r="F12" s="14" t="n">
        <f aca="false">(C12-E12)*100</f>
        <v>-9.77900143773206</v>
      </c>
      <c r="G12" s="5"/>
    </row>
    <row r="13" customFormat="false" ht="15" hidden="false" customHeight="false" outlineLevel="0" collapsed="false">
      <c r="A13" s="15" t="s">
        <v>18</v>
      </c>
      <c r="B13" s="7" t="n">
        <f aca="false">2882.1/8549.2</f>
        <v>0.337119262621064</v>
      </c>
      <c r="C13" s="16" t="n">
        <f aca="false">3274.3/8617.7</f>
        <v>0.379950566856586</v>
      </c>
      <c r="D13" s="14" t="n">
        <f aca="false">(C13-B13)*100</f>
        <v>4.2831304235522</v>
      </c>
      <c r="E13" s="7" t="n">
        <f aca="false">3597.6/10442.7</f>
        <v>0.344508604096642</v>
      </c>
      <c r="F13" s="14" t="n">
        <f aca="false">(C13-E13)*100</f>
        <v>3.54419627599442</v>
      </c>
      <c r="G13" s="5" t="s">
        <v>19</v>
      </c>
    </row>
    <row r="15" customFormat="false" ht="15" hidden="false" customHeight="false" outlineLevel="0" collapsed="false">
      <c r="A15" s="3" t="s">
        <v>20</v>
      </c>
    </row>
    <row r="16" customFormat="false" ht="15" hidden="false" customHeight="false" outlineLevel="0" collapsed="false">
      <c r="A16" s="4" t="s">
        <v>21</v>
      </c>
      <c r="B16" s="4" t="s">
        <v>22</v>
      </c>
      <c r="C16" s="4" t="s">
        <v>23</v>
      </c>
      <c r="D16" s="4" t="s">
        <v>24</v>
      </c>
      <c r="E16" s="4" t="s">
        <v>25</v>
      </c>
      <c r="F16" s="4" t="s">
        <v>26</v>
      </c>
      <c r="G16" s="4" t="s">
        <v>27</v>
      </c>
    </row>
    <row r="17" customFormat="false" ht="15" hidden="false" customHeight="false" outlineLevel="0" collapsed="false">
      <c r="A17" s="9" t="s">
        <v>28</v>
      </c>
      <c r="B17" s="6" t="n">
        <v>3413</v>
      </c>
      <c r="C17" s="6" t="n">
        <v>2064487</v>
      </c>
      <c r="D17" s="6" t="n">
        <v>4415</v>
      </c>
      <c r="E17" s="6" t="n">
        <v>2739753</v>
      </c>
      <c r="F17" s="7" t="n">
        <f aca="false">C17/E17</f>
        <v>0.753530336493837</v>
      </c>
      <c r="G17" s="7" t="n">
        <f aca="false">IF(D17&gt;0,B17/D17,"-")</f>
        <v>0.773046432616082</v>
      </c>
    </row>
    <row r="18" customFormat="false" ht="15" hidden="false" customHeight="false" outlineLevel="0" collapsed="false">
      <c r="A18" s="5" t="s">
        <v>29</v>
      </c>
      <c r="B18" s="6" t="n">
        <v>4017</v>
      </c>
      <c r="C18" s="6" t="n">
        <v>1501751</v>
      </c>
      <c r="D18" s="6" t="n">
        <v>3769</v>
      </c>
      <c r="E18" s="6" t="n">
        <v>1424375</v>
      </c>
      <c r="F18" s="7" t="n">
        <f aca="false">C18/E18</f>
        <v>1.05432277314612</v>
      </c>
      <c r="G18" s="7" t="n">
        <f aca="false">IF(D18&gt;0,B18/D18,"-")</f>
        <v>1.06579994693553</v>
      </c>
    </row>
    <row r="19" customFormat="false" ht="15" hidden="false" customHeight="false" outlineLevel="0" collapsed="false">
      <c r="A19" s="5" t="s">
        <v>30</v>
      </c>
      <c r="B19" s="6" t="n">
        <v>2336</v>
      </c>
      <c r="C19" s="6" t="n">
        <v>2498119</v>
      </c>
      <c r="D19" s="6" t="n">
        <v>2414</v>
      </c>
      <c r="E19" s="6" t="n">
        <v>2324661</v>
      </c>
      <c r="F19" s="7" t="n">
        <f aca="false">C19/E19</f>
        <v>1.07461647096071</v>
      </c>
      <c r="G19" s="7" t="n">
        <f aca="false">IF(D19&gt;0,B19/D19,"-")</f>
        <v>0.967688483844242</v>
      </c>
    </row>
    <row r="20" customFormat="false" ht="15" hidden="false" customHeight="false" outlineLevel="0" collapsed="false">
      <c r="A20" s="5" t="s">
        <v>31</v>
      </c>
      <c r="B20" s="6" t="n">
        <v>4213</v>
      </c>
      <c r="C20" s="6" t="n">
        <v>4640988</v>
      </c>
      <c r="D20" s="6" t="n">
        <v>3552</v>
      </c>
      <c r="E20" s="6" t="n">
        <v>3605428</v>
      </c>
      <c r="F20" s="7" t="n">
        <f aca="false">C20/E20</f>
        <v>1.28722248787107</v>
      </c>
      <c r="G20" s="7" t="n">
        <f aca="false">IF(D20&gt;0,B20/D20,"-")</f>
        <v>1.18609234234234</v>
      </c>
    </row>
    <row r="21" customFormat="false" ht="15" hidden="false" customHeight="false" outlineLevel="0" collapsed="false">
      <c r="A21" s="5" t="s">
        <v>32</v>
      </c>
      <c r="B21" s="6" t="n">
        <v>3125</v>
      </c>
      <c r="C21" s="6" t="n">
        <v>2319191</v>
      </c>
      <c r="D21" s="6" t="n">
        <v>3971</v>
      </c>
      <c r="E21" s="6" t="n">
        <v>2760249</v>
      </c>
      <c r="F21" s="7" t="n">
        <f aca="false">C21/E21</f>
        <v>0.840210792577047</v>
      </c>
      <c r="G21" s="7" t="n">
        <f aca="false">IF(D21&gt;0,B21/D21,"-")</f>
        <v>0.786955426844624</v>
      </c>
    </row>
    <row r="22" customFormat="false" ht="15" hidden="false" customHeight="false" outlineLevel="0" collapsed="false">
      <c r="A22" s="5" t="s">
        <v>33</v>
      </c>
      <c r="B22" s="6" t="n">
        <v>1251</v>
      </c>
      <c r="C22" s="6" t="n">
        <v>607609</v>
      </c>
      <c r="D22" s="6" t="n">
        <v>1307</v>
      </c>
      <c r="E22" s="6" t="n">
        <v>644282</v>
      </c>
      <c r="F22" s="7" t="n">
        <f aca="false">C22/E22</f>
        <v>0.943079272740819</v>
      </c>
      <c r="G22" s="7" t="n">
        <f aca="false">IF(D22&gt;0,B22/D22,"-")</f>
        <v>0.957153787299158</v>
      </c>
    </row>
    <row r="23" customFormat="false" ht="15" hidden="false" customHeight="false" outlineLevel="0" collapsed="false">
      <c r="A23" s="5" t="s">
        <v>34</v>
      </c>
      <c r="B23" s="6" t="n">
        <v>9</v>
      </c>
      <c r="C23" s="6" t="n">
        <v>6507</v>
      </c>
      <c r="D23" s="6" t="n">
        <v>133</v>
      </c>
      <c r="E23" s="6" t="n">
        <v>116063</v>
      </c>
      <c r="F23" s="7" t="n">
        <f aca="false">C23/E23</f>
        <v>0.0560643788287396</v>
      </c>
      <c r="G23" s="7" t="n">
        <f aca="false">IF(D23&gt;0,B23/D23,"-")</f>
        <v>0.0676691729323308</v>
      </c>
    </row>
    <row r="24" customFormat="false" ht="15" hidden="false" customHeight="false" outlineLevel="0" collapsed="false">
      <c r="A24" s="5" t="s">
        <v>35</v>
      </c>
      <c r="B24" s="6" t="n">
        <v>34717</v>
      </c>
      <c r="C24" s="6" t="n">
        <v>31561</v>
      </c>
      <c r="D24" s="6" t="n">
        <v>-277</v>
      </c>
      <c r="E24" s="6" t="n">
        <v>36448</v>
      </c>
      <c r="F24" s="7" t="n">
        <f aca="false">C24/E24</f>
        <v>0.865918568920105</v>
      </c>
      <c r="G24" s="7" t="str">
        <f aca="false">IF(D24&gt;0,B24/D24,"-")</f>
        <v>-</v>
      </c>
    </row>
    <row r="25" customFormat="false" ht="15" hidden="false" customHeight="false" outlineLevel="0" collapsed="false">
      <c r="A25" s="5" t="s">
        <v>36</v>
      </c>
      <c r="B25" s="6" t="n">
        <v>1590</v>
      </c>
      <c r="C25" s="6" t="n">
        <v>432229</v>
      </c>
      <c r="D25" s="6" t="n">
        <v>1656</v>
      </c>
      <c r="E25" s="6" t="n">
        <v>83138</v>
      </c>
      <c r="F25" s="7" t="n">
        <f aca="false">C25/E25</f>
        <v>5.1989343020039</v>
      </c>
      <c r="G25" s="7" t="n">
        <f aca="false">IF(D25&gt;0,B25/D25,"-")</f>
        <v>0.960144927536232</v>
      </c>
    </row>
    <row r="26" customFormat="false" ht="15" hidden="false" customHeight="false" outlineLevel="0" collapsed="false">
      <c r="A26" s="5" t="s">
        <v>37</v>
      </c>
      <c r="B26" s="6" t="n">
        <v>10983</v>
      </c>
      <c r="C26" s="6" t="n">
        <v>14608931</v>
      </c>
      <c r="D26" s="6" t="n">
        <v>18021</v>
      </c>
      <c r="E26" s="6" t="n">
        <v>23070708</v>
      </c>
      <c r="F26" s="7" t="n">
        <f aca="false">C26/E26</f>
        <v>0.633224216612685</v>
      </c>
      <c r="G26" s="7" t="n">
        <f aca="false">IF(D26&gt;0,B26/D26,"-")</f>
        <v>0.609455635092392</v>
      </c>
    </row>
    <row r="27" customFormat="false" ht="15" hidden="false" customHeight="false" outlineLevel="0" collapsed="false">
      <c r="A27" s="17" t="s">
        <v>38</v>
      </c>
      <c r="B27" s="5"/>
      <c r="C27" s="18" t="n">
        <f aca="false">SUM(C17:C25)</f>
        <v>14102442</v>
      </c>
      <c r="D27" s="5"/>
      <c r="E27" s="18" t="n">
        <f aca="false">SUM(E17:E25)</f>
        <v>13734397</v>
      </c>
      <c r="F27" s="16" t="n">
        <f aca="false">C27/E27</f>
        <v>1.0267973177126</v>
      </c>
      <c r="G27" s="5"/>
    </row>
    <row r="28" customFormat="false" ht="15" hidden="false" customHeight="false" outlineLevel="0" collapsed="false">
      <c r="A28" s="17" t="s">
        <v>39</v>
      </c>
      <c r="B28" s="5"/>
      <c r="C28" s="18" t="n">
        <f aca="false">SUM(C17:C26)</f>
        <v>28711373</v>
      </c>
      <c r="D28" s="5"/>
      <c r="E28" s="18" t="n">
        <f aca="false">SUM(E17:E26)</f>
        <v>36805105</v>
      </c>
      <c r="F28" s="16" t="n">
        <f aca="false">C28/E28</f>
        <v>0.780092136675062</v>
      </c>
      <c r="G28" s="5"/>
    </row>
    <row r="30" customFormat="false" ht="15" hidden="false" customHeight="false" outlineLevel="0" collapsed="false">
      <c r="A30" s="3" t="s">
        <v>40</v>
      </c>
    </row>
    <row r="31" customFormat="false" ht="15" hidden="false" customHeight="false" outlineLevel="0" collapsed="false">
      <c r="A31" s="4" t="s">
        <v>3</v>
      </c>
      <c r="B31" s="4" t="s">
        <v>5</v>
      </c>
      <c r="C31" s="4" t="s">
        <v>41</v>
      </c>
      <c r="D31" s="4" t="s">
        <v>42</v>
      </c>
    </row>
    <row r="32" customFormat="false" ht="15" hidden="false" customHeight="false" outlineLevel="0" collapsed="false">
      <c r="A32" s="5" t="s">
        <v>43</v>
      </c>
      <c r="B32" s="6" t="n">
        <v>16008</v>
      </c>
      <c r="C32" s="6" t="n">
        <v>18556</v>
      </c>
      <c r="D32" s="7" t="n">
        <f aca="false">B32/C32</f>
        <v>0.862685923690451</v>
      </c>
    </row>
    <row r="33" customFormat="false" ht="15" hidden="false" customHeight="false" outlineLevel="0" collapsed="false">
      <c r="A33" s="5" t="s">
        <v>44</v>
      </c>
      <c r="B33" s="6" t="n">
        <v>1776</v>
      </c>
      <c r="C33" s="6" t="n">
        <v>1974</v>
      </c>
      <c r="D33" s="7" t="n">
        <f aca="false">B33/C33</f>
        <v>0.899696048632219</v>
      </c>
    </row>
    <row r="34" customFormat="false" ht="15" hidden="false" customHeight="false" outlineLevel="0" collapsed="false">
      <c r="A34" s="5" t="s">
        <v>45</v>
      </c>
      <c r="B34" s="6" t="n">
        <v>74639</v>
      </c>
      <c r="C34" s="6" t="n">
        <v>77738</v>
      </c>
      <c r="D34" s="7" t="n">
        <f aca="false">B34/C34</f>
        <v>0.96013532635262</v>
      </c>
    </row>
    <row r="35" customFormat="false" ht="15" hidden="false" customHeight="false" outlineLevel="0" collapsed="false">
      <c r="A35" s="5" t="s">
        <v>46</v>
      </c>
      <c r="B35" s="19" t="n">
        <f aca="false">B17/B32</f>
        <v>0.213205897051474</v>
      </c>
      <c r="C35" s="19" t="n">
        <f aca="false">D17/C32</f>
        <v>0.237928432851908</v>
      </c>
      <c r="D35" s="7" t="n">
        <f aca="false">B35/C35</f>
        <v>0.896092553949526</v>
      </c>
    </row>
    <row r="36" customFormat="false" ht="15" hidden="false" customHeight="false" outlineLevel="0" collapsed="false">
      <c r="A36" s="5" t="s">
        <v>47</v>
      </c>
      <c r="B36" s="20" t="n">
        <f aca="false">C17/B17</f>
        <v>604.889246996777</v>
      </c>
      <c r="C36" s="20" t="n">
        <f aca="false">E17/D17</f>
        <v>620.555605889015</v>
      </c>
      <c r="D36" s="7" t="n">
        <f aca="false">B36/C36</f>
        <v>0.97475430284802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4"/>
    <col collapsed="false" customWidth="true" hidden="false" outlineLevel="0" max="3" min="3" style="0" width="7"/>
    <col collapsed="false" customWidth="true" hidden="false" outlineLevel="0" max="4" min="4" style="0" width="9"/>
    <col collapsed="false" customWidth="true" hidden="false" outlineLevel="0" max="5" min="5" style="0" width="13"/>
    <col collapsed="false" customWidth="true" hidden="false" outlineLevel="0" max="7" min="6" style="0" width="12"/>
    <col collapsed="false" customWidth="true" hidden="false" outlineLevel="0" max="8" min="8" style="0" width="16"/>
    <col collapsed="false" customWidth="true" hidden="false" outlineLevel="0" max="9" min="9" style="0" width="10"/>
  </cols>
  <sheetData>
    <row r="1" customFormat="false" ht="17.35" hidden="false" customHeight="false" outlineLevel="0" collapsed="false">
      <c r="A1" s="21" t="s">
        <v>48</v>
      </c>
    </row>
    <row r="2" customFormat="false" ht="15" hidden="false" customHeight="false" outlineLevel="0" collapsed="false">
      <c r="A2" s="2" t="s">
        <v>49</v>
      </c>
    </row>
    <row r="4" customFormat="false" ht="29.1" hidden="false" customHeight="false" outlineLevel="0" collapsed="false">
      <c r="A4" s="4" t="s">
        <v>50</v>
      </c>
      <c r="B4" s="4" t="s">
        <v>51</v>
      </c>
      <c r="C4" s="4" t="s">
        <v>52</v>
      </c>
      <c r="D4" s="4" t="s">
        <v>53</v>
      </c>
      <c r="E4" s="4" t="s">
        <v>54</v>
      </c>
      <c r="F4" s="4" t="s">
        <v>55</v>
      </c>
      <c r="G4" s="4" t="s">
        <v>56</v>
      </c>
      <c r="H4" s="22" t="s">
        <v>57</v>
      </c>
      <c r="I4" s="4" t="s">
        <v>58</v>
      </c>
    </row>
    <row r="5" customFormat="false" ht="30" hidden="false" customHeight="true" outlineLevel="0" collapsed="false">
      <c r="A5" s="17" t="s">
        <v>28</v>
      </c>
      <c r="B5" s="23" t="s">
        <v>59</v>
      </c>
      <c r="C5" s="24" t="n">
        <v>40</v>
      </c>
      <c r="D5" s="24" t="n">
        <v>34</v>
      </c>
      <c r="E5" s="25" t="n">
        <v>0.0407</v>
      </c>
      <c r="F5" s="26" t="n">
        <v>0.276</v>
      </c>
      <c r="G5" s="26" t="n">
        <v>0.265</v>
      </c>
      <c r="H5" s="27" t="n">
        <f aca="false">現状と課題!C17</f>
        <v>2064487</v>
      </c>
      <c r="I5" s="7" t="n">
        <f aca="false">H5/$H$11</f>
        <v>0.15144256461474</v>
      </c>
    </row>
    <row r="6" customFormat="false" ht="30" hidden="false" customHeight="true" outlineLevel="0" collapsed="false">
      <c r="A6" s="17" t="s">
        <v>29</v>
      </c>
      <c r="B6" s="23" t="s">
        <v>60</v>
      </c>
      <c r="C6" s="24" t="n">
        <v>22</v>
      </c>
      <c r="D6" s="24" t="n">
        <v>19</v>
      </c>
      <c r="E6" s="25" t="n">
        <v>0.0705</v>
      </c>
      <c r="F6" s="26" t="n">
        <v>0.229</v>
      </c>
      <c r="G6" s="26" t="n">
        <v>0.216</v>
      </c>
      <c r="H6" s="27" t="n">
        <f aca="false">現状と課題!C18</f>
        <v>1501751</v>
      </c>
      <c r="I6" s="7" t="n">
        <f aca="false">H6/$H$11</f>
        <v>0.110162487268145</v>
      </c>
    </row>
    <row r="7" customFormat="false" ht="30" hidden="false" customHeight="true" outlineLevel="0" collapsed="false">
      <c r="A7" s="17" t="s">
        <v>30</v>
      </c>
      <c r="B7" s="23" t="s">
        <v>61</v>
      </c>
      <c r="C7" s="24" t="n">
        <v>11</v>
      </c>
      <c r="D7" s="24" t="n">
        <v>11</v>
      </c>
      <c r="E7" s="25" t="n">
        <v>0.0397</v>
      </c>
      <c r="F7" s="26" t="n">
        <v>0.248</v>
      </c>
      <c r="G7" s="26" t="n">
        <v>0.239</v>
      </c>
      <c r="H7" s="27" t="n">
        <f aca="false">現状と課題!C19</f>
        <v>2498119</v>
      </c>
      <c r="I7" s="7" t="n">
        <f aca="false">H7/$H$11</f>
        <v>0.183252085420159</v>
      </c>
    </row>
    <row r="8" customFormat="false" ht="30" hidden="false" customHeight="true" outlineLevel="0" collapsed="false">
      <c r="A8" s="17" t="s">
        <v>31</v>
      </c>
      <c r="B8" s="23" t="s">
        <v>62</v>
      </c>
      <c r="C8" s="24" t="n">
        <v>26</v>
      </c>
      <c r="D8" s="24" t="n">
        <v>26</v>
      </c>
      <c r="E8" s="25" t="n">
        <v>0.0368</v>
      </c>
      <c r="F8" s="26" t="n">
        <v>0.352</v>
      </c>
      <c r="G8" s="26" t="n">
        <v>0.341</v>
      </c>
      <c r="H8" s="27" t="n">
        <f aca="false">現状と課題!C20</f>
        <v>4640988</v>
      </c>
      <c r="I8" s="7" t="n">
        <f aca="false">H8/$H$11</f>
        <v>0.340444442162257</v>
      </c>
    </row>
    <row r="9" customFormat="false" ht="30" hidden="false" customHeight="true" outlineLevel="0" collapsed="false">
      <c r="A9" s="17" t="s">
        <v>32</v>
      </c>
      <c r="B9" s="23" t="s">
        <v>63</v>
      </c>
      <c r="C9" s="24" t="n">
        <v>38</v>
      </c>
      <c r="D9" s="24" t="n">
        <v>38</v>
      </c>
      <c r="E9" s="25" t="n">
        <v>0.0521</v>
      </c>
      <c r="F9" s="26" t="n">
        <v>0.346</v>
      </c>
      <c r="G9" s="26" t="n">
        <v>0.331</v>
      </c>
      <c r="H9" s="27" t="n">
        <f aca="false">現状と課題!C21</f>
        <v>2319191</v>
      </c>
      <c r="I9" s="7" t="n">
        <f aca="false">H9/$H$11</f>
        <v>0.170126638177631</v>
      </c>
    </row>
    <row r="10" customFormat="false" ht="30" hidden="false" customHeight="true" outlineLevel="0" collapsed="false">
      <c r="A10" s="17" t="s">
        <v>33</v>
      </c>
      <c r="B10" s="23" t="s">
        <v>64</v>
      </c>
      <c r="C10" s="24" t="n">
        <v>12</v>
      </c>
      <c r="D10" s="24" t="n">
        <v>12</v>
      </c>
      <c r="E10" s="25" t="n">
        <v>0.068</v>
      </c>
      <c r="F10" s="26" t="n">
        <v>0.216</v>
      </c>
      <c r="G10" s="26" t="n">
        <v>0.202</v>
      </c>
      <c r="H10" s="27" t="n">
        <f aca="false">現状と課題!C22</f>
        <v>607609</v>
      </c>
      <c r="I10" s="7" t="n">
        <f aca="false">H10/$H$11</f>
        <v>0.0445717823570685</v>
      </c>
    </row>
    <row r="11" customFormat="false" ht="15" hidden="false" customHeight="false" outlineLevel="0" collapsed="false">
      <c r="A11" s="9" t="s">
        <v>65</v>
      </c>
      <c r="B11" s="13"/>
      <c r="C11" s="28" t="n">
        <f aca="false">SUM(C5:C10)</f>
        <v>149</v>
      </c>
      <c r="D11" s="28" t="n">
        <f aca="false">SUM(D5:D10)</f>
        <v>140</v>
      </c>
      <c r="E11" s="29" t="n">
        <f aca="false">SUMPRODUCT(E5:E10,H5:H10)/H11</f>
        <v>0.0456281100443107</v>
      </c>
      <c r="F11" s="10" t="n">
        <f aca="false">SUMPRODUCT(F5:F10,H5:H10)/H11</f>
        <v>0.300799640041974</v>
      </c>
      <c r="G11" s="10" t="n">
        <f aca="false">SUMPRODUCT(G5:G10,H5:H10)/H11</f>
        <v>0.289131597338497</v>
      </c>
      <c r="H11" s="30" t="n">
        <f aca="false">SUM(H5:H10)</f>
        <v>13632145</v>
      </c>
      <c r="I11" s="10" t="n">
        <f aca="false">SUM(I5:I10)</f>
        <v>1</v>
      </c>
    </row>
    <row r="13" customFormat="false" ht="15" hidden="false" customHeight="false" outlineLevel="0" collapsed="false">
      <c r="A13" s="31" t="s">
        <v>66</v>
      </c>
    </row>
    <row r="14" customFormat="false" ht="15" hidden="false" customHeight="false" outlineLevel="0" collapsed="false">
      <c r="A14" s="31" t="s">
        <v>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13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14"/>
  </cols>
  <sheetData>
    <row r="1" customFormat="false" ht="17.35" hidden="false" customHeight="false" outlineLevel="0" collapsed="false">
      <c r="A1" s="21" t="s">
        <v>68</v>
      </c>
    </row>
    <row r="2" customFormat="false" ht="15" hidden="false" customHeight="false" outlineLevel="0" collapsed="false">
      <c r="A2" s="2" t="s">
        <v>69</v>
      </c>
    </row>
    <row r="4" customFormat="false" ht="15" hidden="false" customHeight="false" outlineLevel="0" collapsed="false">
      <c r="A4" s="3" t="s">
        <v>70</v>
      </c>
    </row>
    <row r="5" customFormat="false" ht="15" hidden="false" customHeight="false" outlineLevel="0" collapsed="false">
      <c r="A5" s="5" t="s">
        <v>71</v>
      </c>
      <c r="B5" s="32" t="n">
        <f aca="false">現状と課題!C8</f>
        <v>29206.2</v>
      </c>
      <c r="C5" s="31" t="s">
        <v>72</v>
      </c>
    </row>
    <row r="6" customFormat="false" ht="15" hidden="false" customHeight="false" outlineLevel="0" collapsed="false">
      <c r="A6" s="5" t="s">
        <v>73</v>
      </c>
      <c r="B6" s="33" t="n">
        <f aca="false">B5*2</f>
        <v>58412.4</v>
      </c>
      <c r="C6" s="31" t="s">
        <v>74</v>
      </c>
    </row>
    <row r="7" customFormat="false" ht="15" hidden="false" customHeight="false" outlineLevel="0" collapsed="false">
      <c r="A7" s="5" t="s">
        <v>75</v>
      </c>
      <c r="B7" s="34" t="n">
        <f aca="false">分類別値上げ率!E11</f>
        <v>0.0456281100443107</v>
      </c>
      <c r="C7" s="31" t="s">
        <v>76</v>
      </c>
    </row>
    <row r="8" customFormat="false" ht="15" hidden="false" customHeight="false" outlineLevel="0" collapsed="false">
      <c r="A8" s="5" t="s">
        <v>77</v>
      </c>
      <c r="B8" s="35" t="n">
        <f aca="false">現状と課題!C11</f>
        <v>0.364223910424182</v>
      </c>
      <c r="C8" s="36" t="s">
        <v>78</v>
      </c>
    </row>
    <row r="10" customFormat="false" ht="15" hidden="false" customHeight="false" outlineLevel="0" collapsed="false">
      <c r="A10" s="9" t="s">
        <v>79</v>
      </c>
      <c r="B10" s="11" t="n">
        <f aca="false">1-(1-B8)/(1+B7-B8)</f>
        <v>0.0669618855735665</v>
      </c>
      <c r="C10" s="31" t="s">
        <v>80</v>
      </c>
    </row>
    <row r="11" customFormat="false" ht="15" hidden="false" customHeight="false" outlineLevel="0" collapsed="false">
      <c r="A11" s="5" t="s">
        <v>81</v>
      </c>
      <c r="B11" s="7" t="n">
        <f aca="false">B7/(1+B7)</f>
        <v>0.0436370346263712</v>
      </c>
    </row>
    <row r="13" customFormat="false" ht="15" hidden="false" customHeight="false" outlineLevel="0" collapsed="false">
      <c r="A13" s="3" t="s">
        <v>82</v>
      </c>
    </row>
    <row r="14" customFormat="false" ht="29.1" hidden="false" customHeight="false" outlineLevel="0" collapsed="false">
      <c r="A14" s="4" t="s">
        <v>83</v>
      </c>
      <c r="B14" s="4" t="s">
        <v>84</v>
      </c>
      <c r="C14" s="4" t="s">
        <v>85</v>
      </c>
      <c r="D14" s="4" t="s">
        <v>86</v>
      </c>
      <c r="E14" s="4" t="s">
        <v>87</v>
      </c>
      <c r="F14" s="4" t="s">
        <v>88</v>
      </c>
      <c r="G14" s="4" t="s">
        <v>89</v>
      </c>
      <c r="H14" s="4" t="s">
        <v>90</v>
      </c>
    </row>
    <row r="15" customFormat="false" ht="15" hidden="false" customHeight="false" outlineLevel="0" collapsed="false">
      <c r="A15" s="17" t="s">
        <v>91</v>
      </c>
      <c r="B15" s="37" t="n">
        <v>0</v>
      </c>
      <c r="C15" s="20" t="n">
        <f aca="false">B6</f>
        <v>58412.4</v>
      </c>
      <c r="D15" s="20"/>
      <c r="E15" s="20" t="n">
        <f aca="false">B6*(1-B8)</f>
        <v>37137.2072547385</v>
      </c>
      <c r="F15" s="5"/>
      <c r="G15" s="5"/>
      <c r="H15" s="5"/>
    </row>
    <row r="16" customFormat="false" ht="15" hidden="false" customHeight="false" outlineLevel="0" collapsed="false">
      <c r="A16" s="5" t="s">
        <v>92</v>
      </c>
      <c r="B16" s="25" t="n">
        <v>0</v>
      </c>
      <c r="C16" s="20" t="n">
        <f aca="false">$B$6*(1+$B$7)*(1+B16)</f>
        <v>61077.6474151523</v>
      </c>
      <c r="D16" s="38" t="n">
        <f aca="false">C16-$C$15</f>
        <v>2665.2474151523</v>
      </c>
      <c r="E16" s="20" t="n">
        <f aca="false">$B$6*(1+B16)*(1+$B$7-$B$8)</f>
        <v>39802.4546698908</v>
      </c>
      <c r="F16" s="38" t="n">
        <f aca="false">E16-$E$15</f>
        <v>2665.2474151523</v>
      </c>
      <c r="G16" s="8" t="n">
        <f aca="false">D16/2</f>
        <v>1332.62370757615</v>
      </c>
      <c r="H16" s="8" t="n">
        <f aca="false">F16/2</f>
        <v>1332.62370757615</v>
      </c>
    </row>
    <row r="17" customFormat="false" ht="15" hidden="false" customHeight="false" outlineLevel="0" collapsed="false">
      <c r="A17" s="5" t="s">
        <v>93</v>
      </c>
      <c r="B17" s="25" t="n">
        <v>-0.02</v>
      </c>
      <c r="C17" s="20" t="n">
        <f aca="false">$B$6*(1+$B$7)*(1+B17)</f>
        <v>59856.0944668493</v>
      </c>
      <c r="D17" s="38" t="n">
        <f aca="false">C17-$C$15</f>
        <v>1443.69446684925</v>
      </c>
      <c r="E17" s="20" t="n">
        <f aca="false">$B$6*(1+B17)*(1+$B$7-$B$8)</f>
        <v>39006.405576493</v>
      </c>
      <c r="F17" s="38" t="n">
        <f aca="false">E17-$E$15</f>
        <v>1869.19832175448</v>
      </c>
      <c r="G17" s="8" t="n">
        <f aca="false">D17/2</f>
        <v>721.847233424625</v>
      </c>
      <c r="H17" s="8" t="n">
        <f aca="false">F17/2</f>
        <v>934.599160877242</v>
      </c>
    </row>
    <row r="18" customFormat="false" ht="15" hidden="false" customHeight="false" outlineLevel="0" collapsed="false">
      <c r="A18" s="9" t="s">
        <v>94</v>
      </c>
      <c r="B18" s="25" t="n">
        <v>-0.03</v>
      </c>
      <c r="C18" s="30" t="n">
        <f aca="false">$B$6*(1+$B$7)*(1+B18)</f>
        <v>59245.3179926977</v>
      </c>
      <c r="D18" s="39" t="n">
        <f aca="false">C18-$C$15</f>
        <v>832.91799269773</v>
      </c>
      <c r="E18" s="30" t="n">
        <f aca="false">$B$6*(1+B18)*(1+$B$7-$B$8)</f>
        <v>38608.3810297941</v>
      </c>
      <c r="F18" s="39" t="n">
        <f aca="false">E18-$E$15</f>
        <v>1471.17377505558</v>
      </c>
      <c r="G18" s="40" t="n">
        <f aca="false">D18/2</f>
        <v>416.458996348865</v>
      </c>
      <c r="H18" s="40" t="n">
        <f aca="false">F18/2</f>
        <v>735.586887527788</v>
      </c>
    </row>
    <row r="19" customFormat="false" ht="15" hidden="false" customHeight="false" outlineLevel="0" collapsed="false">
      <c r="A19" s="5" t="s">
        <v>95</v>
      </c>
      <c r="B19" s="25" t="n">
        <v>-0.05</v>
      </c>
      <c r="C19" s="20" t="n">
        <f aca="false">$B$6*(1+$B$7)*(1+B19)</f>
        <v>58023.7650443947</v>
      </c>
      <c r="D19" s="38" t="n">
        <f aca="false">C19-$C$15</f>
        <v>-388.634955605317</v>
      </c>
      <c r="E19" s="20" t="n">
        <f aca="false">$B$6*(1+B19)*(1+$B$7-$B$8)</f>
        <v>37812.3319363963</v>
      </c>
      <c r="F19" s="38" t="n">
        <f aca="false">E19-$E$15</f>
        <v>675.124681657755</v>
      </c>
      <c r="G19" s="8" t="n">
        <f aca="false">D19/2</f>
        <v>-194.317477802659</v>
      </c>
      <c r="H19" s="8" t="n">
        <f aca="false">F19/2</f>
        <v>337.562340828878</v>
      </c>
    </row>
    <row r="21" customFormat="false" ht="15" hidden="false" customHeight="false" outlineLevel="0" collapsed="false">
      <c r="A21" s="5" t="s">
        <v>96</v>
      </c>
      <c r="B21" s="16" t="n">
        <f aca="false">B8/(1+B7)</f>
        <v>0.34833025903325</v>
      </c>
      <c r="C21" s="31" t="s">
        <v>97</v>
      </c>
    </row>
    <row r="23" customFormat="false" ht="15" hidden="false" customHeight="false" outlineLevel="0" collapsed="false">
      <c r="A23" s="31" t="s">
        <v>98</v>
      </c>
    </row>
    <row r="24" customFormat="false" ht="15" hidden="false" customHeight="false" outlineLevel="0" collapsed="false">
      <c r="A24" s="31" t="s">
        <v>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2026-10-11T12:40:43Z</dcterms:created>
  <dc:creator>openpyxl</dc:creator>
  <dc:description/>
  <dc:language>en-US</dc:language>
  <cp:lastModifiedBy/>
  <dcterms:modified xsi:type="dcterms:W3CDTF">2026-10-11T12:40:43Z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