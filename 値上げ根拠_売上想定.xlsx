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現状と課題" sheetId="1" state="visible" r:id="rId3"/>
    <sheet name="分類別値上げ率" sheetId="2" state="visible" r:id="rId4"/>
    <sheet name="売上想定" sheetId="3" state="visible" r:id="rId5"/>
    <sheet name="品目別値上げ効果" sheetId="4" state="visible" r:id="rId6"/>
  </sheets>
  <definedNames>
    <definedName function="false" hidden="true" localSheetId="3" name="_xlnm._FilterDatabase" vbProcedure="false">品目別値上げ効果!$A$4:$N$216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<sst xmlns="http://schemas.openxmlformats.org/spreadsheetml/2006/main" count="770" uniqueCount="449">
  <si>
    <r>
      <rPr>
        <b val="true"/>
        <sz val="14"/>
        <color rgb="FF1F3864"/>
        <rFont val="Meiryo UI"/>
        <family val="0"/>
        <charset val="1"/>
      </rPr>
      <t xml:space="preserve">RAKU SPA 1010 </t>
    </r>
    <r>
      <rPr>
        <b val="true"/>
        <sz val="14"/>
        <color rgb="FF1F3864"/>
        <rFont val="WenQuanYi Zen Hei"/>
        <family val="2"/>
      </rPr>
      <t xml:space="preserve">神田　飲食部門 現状と課題（値上げ根拠）</t>
    </r>
  </si>
  <si>
    <r>
      <rPr>
        <sz val="9"/>
        <color rgb="FF7F7F7F"/>
        <rFont val="WenQuanYi Zen Hei"/>
        <family val="2"/>
      </rPr>
      <t xml:space="preserve">出典：予実管理表 </t>
    </r>
    <r>
      <rPr>
        <sz val="9"/>
        <color rgb="FF7F7F7F"/>
        <rFont val="Meiryo UI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 UI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月（累計＝</t>
    </r>
    <r>
      <rPr>
        <sz val="9"/>
        <color rgb="FF7F7F7F"/>
        <rFont val="Meiryo UI"/>
        <family val="0"/>
        <charset val="1"/>
      </rPr>
      <t xml:space="preserve">2026/4</t>
    </r>
    <r>
      <rPr>
        <sz val="9"/>
        <color rgb="FF7F7F7F"/>
        <rFont val="WenQuanYi Zen Hei"/>
        <family val="2"/>
      </rPr>
      <t xml:space="preserve">〜</t>
    </r>
    <r>
      <rPr>
        <sz val="9"/>
        <color rgb="FF7F7F7F"/>
        <rFont val="Meiryo UI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月、単位：千円）／期間報 </t>
    </r>
    <r>
      <rPr>
        <sz val="9"/>
        <color rgb="FF7F7F7F"/>
        <rFont val="Meiryo UI"/>
        <family val="0"/>
        <charset val="1"/>
      </rPr>
      <t xml:space="preserve">2026/4/1</t>
    </r>
    <r>
      <rPr>
        <sz val="9"/>
        <color rgb="FF7F7F7F"/>
        <rFont val="WenQuanYi Zen Hei"/>
        <family val="2"/>
      </rPr>
      <t xml:space="preserve">〜</t>
    </r>
    <r>
      <rPr>
        <sz val="9"/>
        <color rgb="FF7F7F7F"/>
        <rFont val="Meiryo UI"/>
        <family val="0"/>
        <charset val="1"/>
      </rPr>
      <t xml:space="preserve">6/30</t>
    </r>
    <r>
      <rPr>
        <sz val="9"/>
        <color rgb="FF7F7F7F"/>
        <rFont val="WenQuanYi Zen Hei"/>
        <family val="2"/>
      </rPr>
      <t xml:space="preserve">（税抜・円）。青字＝資料から転記した数値</t>
    </r>
  </si>
  <si>
    <r>
      <rPr>
        <b val="true"/>
        <sz val="11"/>
        <color rgb="FF1F3864"/>
        <rFont val="WenQuanYi Zen Hei"/>
        <family val="2"/>
      </rPr>
      <t xml:space="preserve">① 飲食売上・原価（</t>
    </r>
    <r>
      <rPr>
        <b val="true"/>
        <sz val="11"/>
        <color rgb="FF1F3864"/>
        <rFont val="Meiryo UI"/>
        <family val="0"/>
        <charset val="1"/>
      </rPr>
      <t xml:space="preserve">2026</t>
    </r>
    <r>
      <rPr>
        <b val="true"/>
        <sz val="11"/>
        <color rgb="FF1F3864"/>
        <rFont val="WenQuanYi Zen Hei"/>
        <family val="2"/>
      </rPr>
      <t xml:space="preserve">年</t>
    </r>
    <r>
      <rPr>
        <b val="true"/>
        <sz val="11"/>
        <color rgb="FF1F3864"/>
        <rFont val="Meiryo UI"/>
        <family val="0"/>
        <charset val="1"/>
      </rPr>
      <t xml:space="preserve">4</t>
    </r>
    <r>
      <rPr>
        <b val="true"/>
        <sz val="11"/>
        <color rgb="FF1F3864"/>
        <rFont val="WenQuanYi Zen Hei"/>
        <family val="2"/>
      </rPr>
      <t xml:space="preserve">〜</t>
    </r>
    <r>
      <rPr>
        <b val="true"/>
        <sz val="11"/>
        <color rgb="FF1F3864"/>
        <rFont val="Meiryo UI"/>
        <family val="0"/>
        <charset val="1"/>
      </rPr>
      <t xml:space="preserve">9</t>
    </r>
    <r>
      <rPr>
        <b val="true"/>
        <sz val="11"/>
        <color rgb="FF1F3864"/>
        <rFont val="WenQuanYi Zen Hei"/>
        <family val="2"/>
      </rPr>
      <t xml:space="preserve">月累計／千円）</t>
    </r>
  </si>
  <si>
    <t xml:space="preserve">項目</t>
  </si>
  <si>
    <t xml:space="preserve">予算</t>
  </si>
  <si>
    <t xml:space="preserve">実績</t>
  </si>
  <si>
    <t xml:space="preserve">予算比</t>
  </si>
  <si>
    <t xml:space="preserve">前期実績</t>
  </si>
  <si>
    <t xml:space="preserve">前期比</t>
  </si>
  <si>
    <t xml:space="preserve">前期差</t>
  </si>
  <si>
    <t xml:space="preserve">飲食売上</t>
  </si>
  <si>
    <t xml:space="preserve">　うちコラボ</t>
  </si>
  <si>
    <t xml:space="preserve">　うちコラボ抜き（食事）</t>
  </si>
  <si>
    <t xml:space="preserve">飲食売上原価</t>
  </si>
  <si>
    <t xml:space="preserve">飲食粗利益</t>
  </si>
  <si>
    <t xml:space="preserve">飲食原価率</t>
  </si>
  <si>
    <t xml:space="preserve">←予算比・前期比はポイント差</t>
  </si>
  <si>
    <t xml:space="preserve">コラボ構成比</t>
  </si>
  <si>
    <r>
      <rPr>
        <sz val="11"/>
        <color rgb="FF000000"/>
        <rFont val="Meiryo UI"/>
        <family val="0"/>
        <charset val="1"/>
      </rPr>
      <t xml:space="preserve">9</t>
    </r>
    <r>
      <rPr>
        <sz val="11"/>
        <color rgb="FF000000"/>
        <rFont val="WenQuanYi Zen Hei"/>
        <family val="2"/>
      </rPr>
      <t xml:space="preserve">月単月 飲食原価率</t>
    </r>
  </si>
  <si>
    <r>
      <rPr>
        <sz val="11"/>
        <color rgb="FF000000"/>
        <rFont val="WenQuanYi Zen Hei"/>
        <family val="2"/>
      </rPr>
      <t xml:space="preserve">予実管理表 </t>
    </r>
    <r>
      <rPr>
        <sz val="11"/>
        <color rgb="FF000000"/>
        <rFont val="Meiryo UI"/>
        <family val="0"/>
        <charset val="1"/>
      </rPr>
      <t xml:space="preserve">9</t>
    </r>
    <r>
      <rPr>
        <sz val="11"/>
        <color rgb="FF000000"/>
        <rFont val="WenQuanYi Zen Hei"/>
        <family val="2"/>
      </rPr>
      <t xml:space="preserve">月単月より</t>
    </r>
  </si>
  <si>
    <r>
      <rPr>
        <b val="true"/>
        <sz val="11"/>
        <color rgb="FF1F3864"/>
        <rFont val="WenQuanYi Zen Hei"/>
        <family val="2"/>
      </rPr>
      <t xml:space="preserve">② 分類別売上（</t>
    </r>
    <r>
      <rPr>
        <b val="true"/>
        <sz val="11"/>
        <color rgb="FF1F3864"/>
        <rFont val="Meiryo UI"/>
        <family val="0"/>
        <charset val="1"/>
      </rPr>
      <t xml:space="preserve">2026</t>
    </r>
    <r>
      <rPr>
        <b val="true"/>
        <sz val="11"/>
        <color rgb="FF1F3864"/>
        <rFont val="WenQuanYi Zen Hei"/>
        <family val="2"/>
      </rPr>
      <t xml:space="preserve">年</t>
    </r>
    <r>
      <rPr>
        <b val="true"/>
        <sz val="11"/>
        <color rgb="FF1F3864"/>
        <rFont val="Meiryo UI"/>
        <family val="0"/>
        <charset val="1"/>
      </rPr>
      <t xml:space="preserve">4</t>
    </r>
    <r>
      <rPr>
        <b val="true"/>
        <sz val="11"/>
        <color rgb="FF1F3864"/>
        <rFont val="WenQuanYi Zen Hei"/>
        <family val="2"/>
      </rPr>
      <t xml:space="preserve">〜</t>
    </r>
    <r>
      <rPr>
        <b val="true"/>
        <sz val="11"/>
        <color rgb="FF1F3864"/>
        <rFont val="Meiryo UI"/>
        <family val="0"/>
        <charset val="1"/>
      </rPr>
      <t xml:space="preserve">6</t>
    </r>
    <r>
      <rPr>
        <b val="true"/>
        <sz val="11"/>
        <color rgb="FF1F3864"/>
        <rFont val="WenQuanYi Zen Hei"/>
        <family val="2"/>
      </rPr>
      <t xml:space="preserve">月／税抜・円）</t>
    </r>
  </si>
  <si>
    <t xml:space="preserve">分類</t>
  </si>
  <si>
    <t xml:space="preserve">数量</t>
  </si>
  <si>
    <t xml:space="preserve">金額</t>
  </si>
  <si>
    <t xml:space="preserve">前年数量</t>
  </si>
  <si>
    <t xml:space="preserve">前年金額</t>
  </si>
  <si>
    <t xml:space="preserve">金額 前年比</t>
  </si>
  <si>
    <t xml:space="preserve">数量 前年比</t>
  </si>
  <si>
    <t xml:space="preserve">アルコール</t>
  </si>
  <si>
    <t xml:space="preserve">ソフトドリンク</t>
  </si>
  <si>
    <t xml:space="preserve">麺類</t>
  </si>
  <si>
    <t xml:space="preserve">ご飯類</t>
  </si>
  <si>
    <t xml:space="preserve">一品料理</t>
  </si>
  <si>
    <t xml:space="preserve">デザート類</t>
  </si>
  <si>
    <t xml:space="preserve">ランチ</t>
  </si>
  <si>
    <t xml:space="preserve">その他飲食</t>
  </si>
  <si>
    <t xml:space="preserve">セレクト</t>
  </si>
  <si>
    <t xml:space="preserve">飲食（コラボ）</t>
  </si>
  <si>
    <t xml:space="preserve">コラボ抜き 小計</t>
  </si>
  <si>
    <t xml:space="preserve">飲食 合計</t>
  </si>
  <si>
    <r>
      <rPr>
        <b val="true"/>
        <sz val="11"/>
        <color rgb="FF1F3864"/>
        <rFont val="WenQuanYi Zen Hei"/>
        <family val="2"/>
      </rPr>
      <t xml:space="preserve">③ 客数・客単価（</t>
    </r>
    <r>
      <rPr>
        <b val="true"/>
        <sz val="11"/>
        <color rgb="FF1F3864"/>
        <rFont val="Meiryo UI"/>
        <family val="0"/>
        <charset val="1"/>
      </rPr>
      <t xml:space="preserve">2026</t>
    </r>
    <r>
      <rPr>
        <b val="true"/>
        <sz val="11"/>
        <color rgb="FF1F3864"/>
        <rFont val="WenQuanYi Zen Hei"/>
        <family val="2"/>
      </rPr>
      <t xml:space="preserve">年</t>
    </r>
    <r>
      <rPr>
        <b val="true"/>
        <sz val="11"/>
        <color rgb="FF1F3864"/>
        <rFont val="Meiryo UI"/>
        <family val="0"/>
        <charset val="1"/>
      </rPr>
      <t xml:space="preserve">4</t>
    </r>
    <r>
      <rPr>
        <b val="true"/>
        <sz val="11"/>
        <color rgb="FF1F3864"/>
        <rFont val="WenQuanYi Zen Hei"/>
        <family val="2"/>
      </rPr>
      <t xml:space="preserve">〜</t>
    </r>
    <r>
      <rPr>
        <b val="true"/>
        <sz val="11"/>
        <color rgb="FF1F3864"/>
        <rFont val="Meiryo UI"/>
        <family val="0"/>
        <charset val="1"/>
      </rPr>
      <t xml:space="preserve">6</t>
    </r>
    <r>
      <rPr>
        <b val="true"/>
        <sz val="11"/>
        <color rgb="FF1F3864"/>
        <rFont val="WenQuanYi Zen Hei"/>
        <family val="2"/>
      </rPr>
      <t xml:space="preserve">月）</t>
    </r>
  </si>
  <si>
    <t xml:space="preserve">前年同日</t>
  </si>
  <si>
    <t xml:space="preserve">前年比</t>
  </si>
  <si>
    <t xml:space="preserve">飲食者数（人）</t>
  </si>
  <si>
    <t xml:space="preserve">飲食客単価（円）</t>
  </si>
  <si>
    <t xml:space="preserve">入館者数（人）</t>
  </si>
  <si>
    <t xml:space="preserve">アルコール注文率（杯／飲食者）</t>
  </si>
  <si>
    <t xml:space="preserve">アルコール平均単価（円）</t>
  </si>
  <si>
    <t xml:space="preserve">分類別 実効値上げ率（実際の販売数で加重）</t>
  </si>
  <si>
    <r>
      <rPr>
        <sz val="9"/>
        <color rgb="FF7F7F7F"/>
        <rFont val="WenQuanYi Zen Hei"/>
        <family val="2"/>
      </rPr>
      <t xml:space="preserve">品目別値上げ効果シートを分類ごとに集計。実効値上げ率＝値上げ額</t>
    </r>
    <r>
      <rPr>
        <sz val="9"/>
        <color rgb="FF7F7F7F"/>
        <rFont val="Meiryo UI"/>
        <family val="0"/>
        <charset val="1"/>
      </rPr>
      <t xml:space="preserve">÷</t>
    </r>
    <r>
      <rPr>
        <sz val="9"/>
        <color rgb="FF7F7F7F"/>
        <rFont val="WenQuanYi Zen Hei"/>
        <family val="2"/>
      </rPr>
      <t xml:space="preserve">改定前の定価ベース売上</t>
    </r>
  </si>
  <si>
    <r>
      <rPr>
        <b val="true"/>
        <sz val="11"/>
        <color rgb="FFFFFFFF"/>
        <rFont val="Meiryo UI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〜</t>
    </r>
    <r>
      <rPr>
        <b val="true"/>
        <sz val="11"/>
        <color rgb="FFFFFFFF"/>
        <rFont val="Meiryo UI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月売上（税抜・円）</t>
    </r>
  </si>
  <si>
    <r>
      <rPr>
        <b val="true"/>
        <sz val="11"/>
        <color rgb="FFFFFFFF"/>
        <rFont val="WenQuanYi Zen Hei"/>
        <family val="2"/>
      </rPr>
      <t xml:space="preserve">値上げ額（</t>
    </r>
    <r>
      <rPr>
        <b val="true"/>
        <sz val="11"/>
        <color rgb="FFFFFFFF"/>
        <rFont val="Meiryo UI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か月）</t>
    </r>
  </si>
  <si>
    <t xml:space="preserve">実効値上げ率</t>
  </si>
  <si>
    <t xml:space="preserve">理論原価率 改定前</t>
  </si>
  <si>
    <t xml:space="preserve">理論原価率 改定後</t>
  </si>
  <si>
    <t xml:space="preserve">年間換算 値上げ額</t>
  </si>
  <si>
    <t xml:space="preserve">価格表にない商品（据え置き）</t>
  </si>
  <si>
    <t xml:space="preserve">コラボ抜き 合計</t>
  </si>
  <si>
    <t xml:space="preserve">※ 合計の実効値上げ率は、据え置き商品・価格表にない商品も含めたコラボ抜き売上全体に対する率です。</t>
  </si>
  <si>
    <t xml:space="preserve">追加値上げ候補（価格表にない売れ筋・据え置きの売れ筋）</t>
  </si>
  <si>
    <t xml:space="preserve">商品</t>
  </si>
  <si>
    <r>
      <rPr>
        <b val="true"/>
        <sz val="11"/>
        <color rgb="FFFFFFFF"/>
        <rFont val="Meiryo UI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〜</t>
    </r>
    <r>
      <rPr>
        <b val="true"/>
        <sz val="11"/>
        <color rgb="FFFFFFFF"/>
        <rFont val="Meiryo UI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月数量</t>
    </r>
  </si>
  <si>
    <t xml:space="preserve">現在の税抜単価</t>
  </si>
  <si>
    <t xml:space="preserve">値上げ額（税抜）✎</t>
  </si>
  <si>
    <t xml:space="preserve">値上げ後 税込</t>
  </si>
  <si>
    <r>
      <rPr>
        <b val="true"/>
        <sz val="11"/>
        <color rgb="FFFFFFFF"/>
        <rFont val="Meiryo UI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か月の増収</t>
    </r>
  </si>
  <si>
    <t xml:space="preserve">年間換算</t>
  </si>
  <si>
    <t xml:space="preserve">近江牛サウナカリー</t>
  </si>
  <si>
    <t xml:space="preserve">リポスパ</t>
  </si>
  <si>
    <t xml:space="preserve">コインメックビール</t>
  </si>
  <si>
    <r>
      <rPr>
        <sz val="11"/>
        <color rgb="FF000000"/>
        <rFont val="Meiryo UI"/>
        <family val="0"/>
        <charset val="1"/>
      </rPr>
      <t xml:space="preserve">1010</t>
    </r>
    <r>
      <rPr>
        <sz val="11"/>
        <color rgb="FF000000"/>
        <rFont val="WenQuanYi Zen Hei"/>
        <family val="2"/>
      </rPr>
      <t xml:space="preserve">ハイボールセット</t>
    </r>
  </si>
  <si>
    <t xml:space="preserve">追加候補 合計</t>
  </si>
  <si>
    <r>
      <rPr>
        <sz val="9"/>
        <color rgb="FF595959"/>
        <rFont val="WenQuanYi Zen Hei"/>
        <family val="2"/>
      </rPr>
      <t xml:space="preserve">※ 現在の税抜単価は</t>
    </r>
    <r>
      <rPr>
        <sz val="9"/>
        <color rgb="FF595959"/>
        <rFont val="Meiryo UI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Meiryo UI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月の売上</t>
    </r>
    <r>
      <rPr>
        <sz val="9"/>
        <color rgb="FF595959"/>
        <rFont val="Meiryo UI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数量。値上げ額（黄色）は仮の数字です。</t>
    </r>
    <r>
      <rPr>
        <sz val="9"/>
        <color rgb="FF595959"/>
        <rFont val="Meiryo UI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のままなら据え置き。</t>
    </r>
  </si>
  <si>
    <t xml:space="preserve">値上げ後の売上・粗利想定（コラボ抜き）</t>
  </si>
  <si>
    <t xml:space="preserve">黄色セル＝前提条件（変更すると全体が再計算されます）</t>
  </si>
  <si>
    <t xml:space="preserve">前提条件</t>
  </si>
  <si>
    <r>
      <rPr>
        <sz val="11"/>
        <color rgb="FF000000"/>
        <rFont val="WenQuanYi Zen Hei"/>
        <family val="2"/>
      </rPr>
      <t xml:space="preserve">コラボ抜き売上 </t>
    </r>
    <r>
      <rPr>
        <sz val="11"/>
        <color rgb="FF000000"/>
        <rFont val="Meiryo UI"/>
        <family val="0"/>
        <charset val="1"/>
      </rPr>
      <t xml:space="preserve">4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9</t>
    </r>
    <r>
      <rPr>
        <sz val="11"/>
        <color rgb="FF000000"/>
        <rFont val="WenQuanYi Zen Hei"/>
        <family val="2"/>
      </rPr>
      <t xml:space="preserve">月実績（千円）</t>
    </r>
  </si>
  <si>
    <r>
      <rPr>
        <sz val="9"/>
        <color rgb="FF595959"/>
        <rFont val="WenQuanYi Zen Hei"/>
        <family val="2"/>
      </rPr>
      <t xml:space="preserve">予実管理表 </t>
    </r>
    <r>
      <rPr>
        <sz val="9"/>
        <color rgb="FF595959"/>
        <rFont val="Meiryo UI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月 累計「食事」</t>
    </r>
  </si>
  <si>
    <t xml:space="preserve">年間換算ベース売上（千円）</t>
  </si>
  <si>
    <r>
      <rPr>
        <sz val="9"/>
        <color rgb="FF595959"/>
        <rFont val="WenQuanYi Zen Hei"/>
        <family val="2"/>
      </rPr>
      <t xml:space="preserve">上期</t>
    </r>
    <r>
      <rPr>
        <sz val="9"/>
        <color rgb="FF595959"/>
        <rFont val="Meiryo UI"/>
        <family val="0"/>
        <charset val="1"/>
      </rPr>
      <t xml:space="preserve">×2</t>
    </r>
    <r>
      <rPr>
        <sz val="9"/>
        <color rgb="FF595959"/>
        <rFont val="WenQuanYi Zen Hei"/>
        <family val="2"/>
      </rPr>
      <t xml:space="preserve">で年換算</t>
    </r>
  </si>
  <si>
    <r>
      <rPr>
        <sz val="11"/>
        <color rgb="FF000000"/>
        <rFont val="WenQuanYi Zen Hei"/>
        <family val="2"/>
      </rPr>
      <t xml:space="preserve">追加候補を含める（</t>
    </r>
    <r>
      <rPr>
        <sz val="11"/>
        <color rgb="FF000000"/>
        <rFont val="Meiryo UI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＝含める／</t>
    </r>
    <r>
      <rPr>
        <sz val="11"/>
        <color rgb="FF000000"/>
        <rFont val="Meiryo UI"/>
        <family val="0"/>
        <charset val="1"/>
      </rPr>
      <t xml:space="preserve">0</t>
    </r>
    <r>
      <rPr>
        <sz val="11"/>
        <color rgb="FF000000"/>
        <rFont val="WenQuanYi Zen Hei"/>
        <family val="2"/>
      </rPr>
      <t xml:space="preserve">＝含めない）</t>
    </r>
  </si>
  <si>
    <t xml:space="preserve">分類別値上げ率シートの「追加値上げ候補」</t>
  </si>
  <si>
    <t xml:space="preserve">実効値上げ率（税抜・販売数で加重）</t>
  </si>
  <si>
    <r>
      <rPr>
        <sz val="9"/>
        <color rgb="FF595959"/>
        <rFont val="WenQuanYi Zen Hei"/>
        <family val="2"/>
      </rPr>
      <t xml:space="preserve">値上げ額</t>
    </r>
    <r>
      <rPr>
        <sz val="9"/>
        <color rgb="FF595959"/>
        <rFont val="Meiryo UI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コラボ抜き売上（</t>
    </r>
    <r>
      <rPr>
        <sz val="9"/>
        <color rgb="FF595959"/>
        <rFont val="Meiryo UI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Meiryo UI"/>
        <family val="0"/>
        <charset val="1"/>
      </rPr>
      <t xml:space="preserve">6</t>
    </r>
    <r>
      <rPr>
        <sz val="9"/>
        <color rgb="FF595959"/>
        <rFont val="WenQuanYi Zen Hei"/>
        <family val="2"/>
      </rPr>
      <t xml:space="preserve">月の品目別実績）</t>
    </r>
  </si>
  <si>
    <t xml:space="preserve">原価率（実績）</t>
  </si>
  <si>
    <r>
      <rPr>
        <sz val="9"/>
        <color rgb="FF595959"/>
        <rFont val="Meiryo UI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Meiryo UI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月の飲食原価率。値上げ後も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品あたり原価は不変と仮定</t>
    </r>
  </si>
  <si>
    <t xml:space="preserve">粗利が値上げ前と同じになる数量減（損益分岐）</t>
  </si>
  <si>
    <t xml:space="preserve">この割合まで販売数が減っても粗利額は減らない</t>
  </si>
  <si>
    <t xml:space="preserve">売上が値上げ前と同じになる数量減</t>
  </si>
  <si>
    <t xml:space="preserve">シナリオ別 年間想定（千円）</t>
  </si>
  <si>
    <t xml:space="preserve">シナリオ</t>
  </si>
  <si>
    <t xml:space="preserve">販売数の変化</t>
  </si>
  <si>
    <t xml:space="preserve">年間売上（値上げ後）</t>
  </si>
  <si>
    <t xml:space="preserve">売上増減</t>
  </si>
  <si>
    <t xml:space="preserve">年間粗利（値上げ後）</t>
  </si>
  <si>
    <t xml:space="preserve">粗利増減</t>
  </si>
  <si>
    <r>
      <rPr>
        <b val="true"/>
        <sz val="11"/>
        <color rgb="FFFFFFFF"/>
        <rFont val="WenQuanYi Zen Hei"/>
        <family val="2"/>
      </rPr>
      <t xml:space="preserve">半期（</t>
    </r>
    <r>
      <rPr>
        <b val="true"/>
        <sz val="11"/>
        <color rgb="FFFFFFFF"/>
        <rFont val="Meiryo UI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か月）売上増減</t>
    </r>
  </si>
  <si>
    <t xml:space="preserve">半期 粗利増減</t>
  </si>
  <si>
    <t xml:space="preserve">値上げ前（ベース）</t>
  </si>
  <si>
    <t xml:space="preserve">客離れなし</t>
  </si>
  <si>
    <t xml:space="preserve">やや減少</t>
  </si>
  <si>
    <t xml:space="preserve">想定（標準）</t>
  </si>
  <si>
    <t xml:space="preserve">慎重</t>
  </si>
  <si>
    <t xml:space="preserve">値上げ後の飲食原価率（想定）</t>
  </si>
  <si>
    <t xml:space="preserve">同じ原価で売価だけ上がった場合の原価率</t>
  </si>
  <si>
    <t xml:space="preserve">※ コラボ売上は値上げ対象外のため含めていません。</t>
  </si>
  <si>
    <r>
      <rPr>
        <sz val="9"/>
        <color rgb="FF595959"/>
        <rFont val="WenQuanYi Zen Hei"/>
        <family val="2"/>
      </rPr>
      <t xml:space="preserve">※ 販売数の変化は仮定です。値上げ後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Meiryo UI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か月の実績で見直してください。</t>
    </r>
  </si>
  <si>
    <r>
      <rPr>
        <b val="true"/>
        <sz val="14"/>
        <color rgb="FF1F3864"/>
        <rFont val="WenQuanYi Zen Hei"/>
        <family val="2"/>
      </rPr>
      <t xml:space="preserve">品目別 値上げ効果（</t>
    </r>
    <r>
      <rPr>
        <b val="true"/>
        <sz val="14"/>
        <color rgb="FF1F3864"/>
        <rFont val="Meiryo UI"/>
        <family val="0"/>
        <charset val="1"/>
      </rPr>
      <t xml:space="preserve">2026</t>
    </r>
    <r>
      <rPr>
        <b val="true"/>
        <sz val="14"/>
        <color rgb="FF1F3864"/>
        <rFont val="WenQuanYi Zen Hei"/>
        <family val="2"/>
      </rPr>
      <t xml:space="preserve">年</t>
    </r>
    <r>
      <rPr>
        <b val="true"/>
        <sz val="14"/>
        <color rgb="FF1F3864"/>
        <rFont val="Meiryo UI"/>
        <family val="0"/>
        <charset val="1"/>
      </rPr>
      <t xml:space="preserve">4</t>
    </r>
    <r>
      <rPr>
        <b val="true"/>
        <sz val="14"/>
        <color rgb="FF1F3864"/>
        <rFont val="WenQuanYi Zen Hei"/>
        <family val="2"/>
      </rPr>
      <t xml:space="preserve">〜</t>
    </r>
    <r>
      <rPr>
        <b val="true"/>
        <sz val="14"/>
        <color rgb="FF1F3864"/>
        <rFont val="Meiryo UI"/>
        <family val="0"/>
        <charset val="1"/>
      </rPr>
      <t xml:space="preserve">6</t>
    </r>
    <r>
      <rPr>
        <b val="true"/>
        <sz val="14"/>
        <color rgb="FF1F3864"/>
        <rFont val="WenQuanYi Zen Hei"/>
        <family val="2"/>
      </rPr>
      <t xml:space="preserve">月の販売数で試算）</t>
    </r>
  </si>
  <si>
    <r>
      <rPr>
        <sz val="9"/>
        <color rgb="FF7F7F7F"/>
        <rFont val="WenQuanYi Zen Hei"/>
        <family val="2"/>
      </rPr>
      <t xml:space="preserve">出典：期間報（商品別）</t>
    </r>
    <r>
      <rPr>
        <sz val="9"/>
        <color rgb="FF7F7F7F"/>
        <rFont val="Meiryo UI"/>
        <family val="0"/>
        <charset val="1"/>
      </rPr>
      <t xml:space="preserve">2026/4/1</t>
    </r>
    <r>
      <rPr>
        <sz val="9"/>
        <color rgb="FF7F7F7F"/>
        <rFont val="WenQuanYi Zen Hei"/>
        <family val="2"/>
      </rPr>
      <t xml:space="preserve">〜</t>
    </r>
    <r>
      <rPr>
        <sz val="9"/>
        <color rgb="FF7F7F7F"/>
        <rFont val="Meiryo UI"/>
        <family val="0"/>
        <charset val="1"/>
      </rPr>
      <t xml:space="preserve">6/30 </t>
    </r>
    <r>
      <rPr>
        <sz val="9"/>
        <color rgb="FF7F7F7F"/>
        <rFont val="WenQuanYi Zen Hei"/>
        <family val="2"/>
      </rPr>
      <t xml:space="preserve">税抜／メニュー原価一覧（最新版）。販売数</t>
    </r>
    <r>
      <rPr>
        <sz val="9"/>
        <color rgb="FF7F7F7F"/>
        <rFont val="Meiryo UI"/>
        <family val="0"/>
        <charset val="1"/>
      </rPr>
      <t xml:space="preserve">×</t>
    </r>
    <r>
      <rPr>
        <sz val="9"/>
        <color rgb="FF7F7F7F"/>
        <rFont val="WenQuanYi Zen Hei"/>
        <family val="2"/>
      </rPr>
      <t xml:space="preserve">税抜差額＝値上げで増える売上（販売数が変わらない場合）</t>
    </r>
  </si>
  <si>
    <r>
      <rPr>
        <b val="true"/>
        <sz val="11"/>
        <color rgb="FFFFFFFF"/>
        <rFont val="Meiryo UI"/>
        <family val="0"/>
        <charset val="1"/>
      </rPr>
      <t xml:space="preserve">POS</t>
    </r>
    <r>
      <rPr>
        <b val="true"/>
        <sz val="11"/>
        <color rgb="FFFFFFFF"/>
        <rFont val="WenQuanYi Zen Hei"/>
        <family val="2"/>
      </rPr>
      <t xml:space="preserve">商品名</t>
    </r>
  </si>
  <si>
    <t xml:space="preserve">メニュー名</t>
  </si>
  <si>
    <t xml:space="preserve">売上（税抜）</t>
  </si>
  <si>
    <t xml:space="preserve">改定前 税抜</t>
  </si>
  <si>
    <t xml:space="preserve">改定後 税抜</t>
  </si>
  <si>
    <t xml:space="preserve">差額</t>
  </si>
  <si>
    <t xml:space="preserve">値上げ額</t>
  </si>
  <si>
    <t xml:space="preserve">定価ベース売上</t>
  </si>
  <si>
    <t xml:space="preserve">原価単価</t>
  </si>
  <si>
    <t xml:space="preserve">原価計</t>
  </si>
  <si>
    <t xml:space="preserve">原価登録分 定価売上</t>
  </si>
  <si>
    <t xml:space="preserve">原価登録分 値上げ額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</si>
  <si>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パイントグラス</t>
    </r>
  </si>
  <si>
    <t xml:space="preserve">アサヒスーパードライ（パイントグラス）</t>
  </si>
  <si>
    <r>
      <rPr>
        <sz val="11"/>
        <color rgb="FF000000"/>
        <rFont val="Meiryo UI"/>
        <family val="0"/>
        <charset val="1"/>
      </rPr>
      <t xml:space="preserve">2025)1010</t>
    </r>
    <r>
      <rPr>
        <sz val="11"/>
        <color rgb="FF000000"/>
        <rFont val="WenQuanYi Zen Hei"/>
        <family val="2"/>
      </rPr>
      <t xml:space="preserve">セット</t>
    </r>
  </si>
  <si>
    <r>
      <rPr>
        <sz val="11"/>
        <color rgb="FF000000"/>
        <rFont val="Meiryo UI"/>
        <family val="0"/>
        <charset val="1"/>
      </rPr>
      <t xml:space="preserve">1010</t>
    </r>
    <r>
      <rPr>
        <sz val="11"/>
        <color rgb="FF000000"/>
        <rFont val="WenQuanYi Zen Hei"/>
        <family val="2"/>
      </rPr>
      <t xml:space="preserve">セット（タパス付）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</si>
  <si>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マルエフ</t>
    </r>
  </si>
  <si>
    <t xml:space="preserve">マルエフ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</si>
  <si>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熟選ビール</t>
    </r>
  </si>
  <si>
    <t xml:space="preserve">熟撰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</si>
  <si>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黒生</t>
    </r>
  </si>
  <si>
    <t xml:space="preserve">黒生</t>
  </si>
  <si>
    <r>
      <rPr>
        <sz val="11"/>
        <color rgb="FF000000"/>
        <rFont val="Meiryo UI"/>
        <family val="0"/>
        <charset val="1"/>
      </rPr>
      <t xml:space="preserve">2025)JUG</t>
    </r>
    <r>
      <rPr>
        <sz val="11"/>
        <color rgb="FF000000"/>
        <rFont val="WenQuanYi Zen Hei"/>
        <family val="2"/>
      </rPr>
      <t xml:space="preserve">ビール</t>
    </r>
  </si>
  <si>
    <r>
      <rPr>
        <sz val="11"/>
        <color rgb="FF000000"/>
        <rFont val="Meiryo UI"/>
        <family val="0"/>
        <charset val="1"/>
      </rPr>
      <t xml:space="preserve">1010JUG</t>
    </r>
    <r>
      <rPr>
        <sz val="11"/>
        <color rgb="FF000000"/>
        <rFont val="WenQuanYi Zen Hei"/>
        <family val="2"/>
      </rPr>
      <t xml:space="preserve">ビール（</t>
    </r>
    <r>
      <rPr>
        <sz val="11"/>
        <color rgb="FF000000"/>
        <rFont val="Meiryo UI"/>
        <family val="0"/>
        <charset val="1"/>
      </rPr>
      <t xml:space="preserve">800ml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</si>
  <si>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ハイボールレギュラー</t>
    </r>
  </si>
  <si>
    <t xml:space="preserve">ハイボール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</si>
  <si>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匠の深絞りレモンサワー</t>
    </r>
  </si>
  <si>
    <t xml:space="preserve">匠の深絞りレモンサワー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</si>
  <si>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ピルスナーウルケル</t>
    </r>
  </si>
  <si>
    <t xml:space="preserve">ピルスナー・ウルケル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</si>
  <si>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塩レモンサワー</t>
    </r>
  </si>
  <si>
    <t xml:space="preserve">塩レモンサワー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</si>
  <si>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ペローニ</t>
    </r>
  </si>
  <si>
    <t xml:space="preserve">ペローニ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</si>
  <si>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シチリアレモンサワー</t>
    </r>
  </si>
  <si>
    <t xml:space="preserve">シチリアレモンサワー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</si>
  <si>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塩ライチサワー</t>
    </r>
  </si>
  <si>
    <t xml:space="preserve">塩ライチサワー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</si>
  <si>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マンゴーサワー</t>
    </r>
  </si>
  <si>
    <t xml:space="preserve">マンゴーサワー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</si>
  <si>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カールスバーグ</t>
    </r>
  </si>
  <si>
    <t xml:space="preserve">カールスバーグ</t>
  </si>
  <si>
    <t xml:space="preserve">新アサヒドライゼロ</t>
  </si>
  <si>
    <t xml:space="preserve">アサヒドライゼロ（ノンアル）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</si>
  <si>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いちごサワー</t>
    </r>
  </si>
  <si>
    <t xml:space="preserve">いちごサワー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</si>
  <si>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ガリゲットブラン グラス</t>
    </r>
  </si>
  <si>
    <r>
      <rPr>
        <sz val="11"/>
        <color rgb="FF000000"/>
        <rFont val="WenQuanYi Zen Hei"/>
        <family val="2"/>
      </rPr>
      <t xml:space="preserve">ガリゲット・バリグール 白（グラス</t>
    </r>
    <r>
      <rPr>
        <sz val="11"/>
        <color rgb="FF000000"/>
        <rFont val="Meiryo UI"/>
        <family val="0"/>
        <charset val="1"/>
      </rPr>
      <t xml:space="preserve">180ml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</si>
  <si>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ガリゲットルージュ グラス</t>
    </r>
  </si>
  <si>
    <r>
      <rPr>
        <sz val="11"/>
        <color rgb="FF000000"/>
        <rFont val="WenQuanYi Zen Hei"/>
        <family val="2"/>
      </rPr>
      <t xml:space="preserve">ガリゲット・バリグール 赤（グラス</t>
    </r>
    <r>
      <rPr>
        <sz val="11"/>
        <color rgb="FF000000"/>
        <rFont val="Meiryo UI"/>
        <family val="0"/>
        <charset val="1"/>
      </rPr>
      <t xml:space="preserve">180ml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</si>
  <si>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フォション大人のミルクティー</t>
    </r>
  </si>
  <si>
    <t xml:space="preserve">フォション大人のミルクティー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</si>
  <si>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カシスオレンジ</t>
    </r>
  </si>
  <si>
    <t xml:space="preserve">カシスオレンジ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</si>
  <si>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セットタパス</t>
    </r>
    <r>
      <rPr>
        <sz val="11"/>
        <color rgb="FF000000"/>
        <rFont val="Meiryo UI"/>
        <family val="0"/>
        <charset val="1"/>
      </rPr>
      <t xml:space="preserve">308</t>
    </r>
    <r>
      <rPr>
        <sz val="11"/>
        <color rgb="FF000000"/>
        <rFont val="WenQuanYi Zen Hei"/>
        <family val="2"/>
      </rPr>
      <t xml:space="preserve">円</t>
    </r>
  </si>
  <si>
    <t xml:space="preserve">タパスセット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</si>
  <si>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モスコミュール</t>
    </r>
  </si>
  <si>
    <t xml:space="preserve">モスコミュール</t>
  </si>
  <si>
    <t xml:space="preserve">ニッカ 弘前 生シードル ロゼ</t>
  </si>
  <si>
    <r>
      <rPr>
        <sz val="11"/>
        <color rgb="FF000000"/>
        <rFont val="WenQuanYi Zen Hei"/>
        <family val="2"/>
      </rPr>
      <t xml:space="preserve">ニッカ 弘前 生シードル ロゼ（</t>
    </r>
    <r>
      <rPr>
        <sz val="11"/>
        <color rgb="FF000000"/>
        <rFont val="Meiryo UI"/>
        <family val="0"/>
        <charset val="1"/>
      </rPr>
      <t xml:space="preserve">200ml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</si>
  <si>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ジンジャーハイレギュラー</t>
    </r>
  </si>
  <si>
    <t xml:space="preserve">ジンジャーハイ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</si>
  <si>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ガリゲットルージュ ボトル</t>
    </r>
  </si>
  <si>
    <r>
      <rPr>
        <sz val="11"/>
        <color rgb="FF000000"/>
        <rFont val="WenQuanYi Zen Hei"/>
        <family val="2"/>
      </rPr>
      <t xml:space="preserve">ガリゲット・バリグール 赤（ボトル</t>
    </r>
    <r>
      <rPr>
        <sz val="11"/>
        <color rgb="FF000000"/>
        <rFont val="Meiryo UI"/>
        <family val="0"/>
        <charset val="1"/>
      </rPr>
      <t xml:space="preserve">750ml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</si>
  <si>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カルピスサワー</t>
    </r>
  </si>
  <si>
    <t xml:space="preserve">カルピスサワー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</si>
  <si>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コークハイレギュラー</t>
    </r>
  </si>
  <si>
    <t xml:space="preserve">コークハイ</t>
  </si>
  <si>
    <t xml:space="preserve">新芳醇梅酒</t>
  </si>
  <si>
    <t xml:space="preserve">芳醇梅酒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</si>
  <si>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マテウスロゼ</t>
    </r>
  </si>
  <si>
    <r>
      <rPr>
        <sz val="11"/>
        <color rgb="FF000000"/>
        <rFont val="WenQuanYi Zen Hei"/>
        <family val="2"/>
      </rPr>
      <t xml:space="preserve">マテウス ロゼ（</t>
    </r>
    <r>
      <rPr>
        <sz val="11"/>
        <color rgb="FF000000"/>
        <rFont val="Meiryo UI"/>
        <family val="0"/>
        <charset val="1"/>
      </rPr>
      <t xml:space="preserve">187ml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</si>
  <si>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塩オレンジサワー</t>
    </r>
  </si>
  <si>
    <t xml:space="preserve">塩オレンジサワー</t>
  </si>
  <si>
    <t xml:space="preserve">新麦焼酎</t>
  </si>
  <si>
    <t xml:space="preserve">麦焼酎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</si>
  <si>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ガリゲットブラン ボトル</t>
    </r>
  </si>
  <si>
    <r>
      <rPr>
        <sz val="11"/>
        <color rgb="FF000000"/>
        <rFont val="WenQuanYi Zen Hei"/>
        <family val="2"/>
      </rPr>
      <t xml:space="preserve">ガリゲット・バリグール 白（ボトル</t>
    </r>
    <r>
      <rPr>
        <sz val="11"/>
        <color rgb="FF000000"/>
        <rFont val="Meiryo UI"/>
        <family val="0"/>
        <charset val="1"/>
      </rPr>
      <t xml:space="preserve">750ml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</si>
  <si>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ウーロンハイ</t>
    </r>
  </si>
  <si>
    <t xml:space="preserve">ウーロンハイ</t>
  </si>
  <si>
    <t xml:space="preserve">新ジン</t>
  </si>
  <si>
    <t xml:space="preserve">ウィルキンソン ジン（ソーダ割）</t>
  </si>
  <si>
    <t xml:space="preserve">新金黒</t>
  </si>
  <si>
    <t xml:space="preserve">芋焼酎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</si>
  <si>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カシスソーダ</t>
    </r>
  </si>
  <si>
    <t xml:space="preserve">カシスソーダ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</si>
  <si>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いもハイレギュラー</t>
    </r>
  </si>
  <si>
    <t xml:space="preserve">いもハイ</t>
  </si>
  <si>
    <t xml:space="preserve">新ウォッカ</t>
  </si>
  <si>
    <t xml:space="preserve">ウィルキンソン ウォッカ（ソーダ割）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</si>
  <si>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リポスパ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</si>
  <si>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メロンソーダフロート</t>
    </r>
  </si>
  <si>
    <t xml:space="preserve">メロンソーダフロート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</si>
  <si>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コーラフロート</t>
    </r>
  </si>
  <si>
    <t xml:space="preserve">コーラフロート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</si>
  <si>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黒ウーロン茶</t>
    </r>
  </si>
  <si>
    <t xml:space="preserve">黒ウーロン茶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</si>
  <si>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コーラ</t>
    </r>
  </si>
  <si>
    <t xml:space="preserve">コーラ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</si>
  <si>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コーヒーフロート</t>
    </r>
  </si>
  <si>
    <t xml:space="preserve">コーヒーフロート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</si>
  <si>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ジンジャーエール</t>
    </r>
  </si>
  <si>
    <t xml:space="preserve">ジンジャーエール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</si>
  <si>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アイスコーヒー</t>
    </r>
  </si>
  <si>
    <t xml:space="preserve">アイスコーヒー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</si>
  <si>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レモンスカッシュ</t>
    </r>
  </si>
  <si>
    <t xml:space="preserve">レモンスカッシュ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</si>
  <si>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リポスパフロート</t>
    </r>
  </si>
  <si>
    <t xml:space="preserve">リポスパフロート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</si>
  <si>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カフェオレ</t>
    </r>
  </si>
  <si>
    <t xml:space="preserve">アイスカフェオレ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</si>
  <si>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メロンソーダ</t>
    </r>
  </si>
  <si>
    <t xml:space="preserve">メロンソーダ</t>
  </si>
  <si>
    <t xml:space="preserve">新カルピス</t>
  </si>
  <si>
    <t xml:space="preserve">カルピス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</si>
  <si>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アイスティー</t>
    </r>
  </si>
  <si>
    <t xml:space="preserve">アイスティー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</si>
  <si>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オレンジジュース</t>
    </r>
  </si>
  <si>
    <t xml:space="preserve">オレンジジュース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</si>
  <si>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レモンスカッシュフロート</t>
    </r>
  </si>
  <si>
    <t xml:space="preserve">レモンスカッシュフロート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</si>
  <si>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ホットコーヒー</t>
    </r>
  </si>
  <si>
    <t xml:space="preserve">ホットコーヒー</t>
  </si>
  <si>
    <t xml:space="preserve">アクリ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</si>
  <si>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オレンジフロート</t>
    </r>
  </si>
  <si>
    <t xml:space="preserve">オレンジフロート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</si>
  <si>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カルピスフロート</t>
    </r>
  </si>
  <si>
    <t xml:space="preserve">カルピスフロート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</si>
  <si>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カルピスソーダ</t>
    </r>
  </si>
  <si>
    <t xml:space="preserve">カルピスソーダ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</si>
  <si>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カルピスソーダフロート</t>
    </r>
  </si>
  <si>
    <t xml:space="preserve">カルピスソーダフロート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</si>
  <si>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釜玉チーズカレーうどん</t>
    </r>
  </si>
  <si>
    <t xml:space="preserve">釜玉チーズカレーうどん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</si>
  <si>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濃厚カルボナーラパスタ</t>
    </r>
  </si>
  <si>
    <t xml:space="preserve">濃厚カルボナーラパスタ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</si>
  <si>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肉うどん</t>
    </r>
  </si>
  <si>
    <t xml:space="preserve">肉うどん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</si>
  <si>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ほうれん草生ハムのパスタ</t>
    </r>
  </si>
  <si>
    <t xml:space="preserve">ほうれん草と生ハムのガーリックパスタ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</si>
  <si>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カルボナーラうどん</t>
    </r>
  </si>
  <si>
    <t xml:space="preserve">カルボナーラうどん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</si>
  <si>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近江牛ボロネーゼ</t>
    </r>
  </si>
  <si>
    <t xml:space="preserve">近江牛ボロネーゼ風パスタ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</si>
  <si>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ビスククリームパスタ</t>
    </r>
  </si>
  <si>
    <t xml:space="preserve">ビスククリームパスタ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</si>
  <si>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ぶっかけうどん</t>
    </r>
  </si>
  <si>
    <t xml:space="preserve">ぶっかけうどん（冷）</t>
  </si>
  <si>
    <r>
      <rPr>
        <sz val="11"/>
        <color rgb="FF000000"/>
        <rFont val="Meiryo UI"/>
        <family val="0"/>
        <charset val="1"/>
      </rPr>
      <t xml:space="preserve">2025)Todays</t>
    </r>
    <r>
      <rPr>
        <sz val="11"/>
        <color rgb="FF000000"/>
        <rFont val="WenQuanYi Zen Hei"/>
        <family val="2"/>
      </rPr>
      <t xml:space="preserve">パスタ</t>
    </r>
  </si>
  <si>
    <r>
      <rPr>
        <sz val="11"/>
        <color rgb="FF000000"/>
        <rFont val="Meiryo UI"/>
        <family val="0"/>
        <charset val="1"/>
      </rPr>
      <t xml:space="preserve">today's</t>
    </r>
    <r>
      <rPr>
        <sz val="11"/>
        <color rgb="FF000000"/>
        <rFont val="WenQuanYi Zen Hei"/>
        <family val="2"/>
      </rPr>
      <t xml:space="preserve">パスタ</t>
    </r>
  </si>
  <si>
    <r>
      <rPr>
        <sz val="11"/>
        <color rgb="FF000000"/>
        <rFont val="Meiryo UI"/>
        <family val="0"/>
        <charset val="1"/>
      </rPr>
      <t xml:space="preserve">2025)Todays</t>
    </r>
    <r>
      <rPr>
        <sz val="11"/>
        <color rgb="FF000000"/>
        <rFont val="WenQuanYi Zen Hei"/>
        <family val="2"/>
      </rPr>
      <t xml:space="preserve">パスタセット</t>
    </r>
  </si>
  <si>
    <r>
      <rPr>
        <sz val="11"/>
        <color rgb="FF000000"/>
        <rFont val="Meiryo UI"/>
        <family val="0"/>
        <charset val="1"/>
      </rPr>
      <t xml:space="preserve">today's</t>
    </r>
    <r>
      <rPr>
        <sz val="11"/>
        <color rgb="FF000000"/>
        <rFont val="WenQuanYi Zen Hei"/>
        <family val="2"/>
      </rPr>
      <t xml:space="preserve">パスタ（ランチセット）</t>
    </r>
  </si>
  <si>
    <r>
      <rPr>
        <sz val="11"/>
        <color rgb="FF000000"/>
        <rFont val="Meiryo UI"/>
        <family val="0"/>
        <charset val="1"/>
      </rPr>
      <t xml:space="preserve">Todays</t>
    </r>
    <r>
      <rPr>
        <sz val="11"/>
        <color rgb="FF000000"/>
        <rFont val="WenQuanYi Zen Hei"/>
        <family val="2"/>
      </rPr>
      <t xml:space="preserve">パスタランチ</t>
    </r>
  </si>
  <si>
    <t xml:space="preserve">プレミアムロースカツカレー</t>
  </si>
  <si>
    <t xml:space="preserve">プレミアムロースかつカレー</t>
  </si>
  <si>
    <t xml:space="preserve">サーモンアボカドボウルライス</t>
  </si>
  <si>
    <t xml:space="preserve">サーモンアボカドベジボウル</t>
  </si>
  <si>
    <t xml:space="preserve">バターチキンカレー</t>
  </si>
  <si>
    <t xml:space="preserve">ローストビーフボウルライス</t>
  </si>
  <si>
    <t xml:space="preserve">ローストビーフベジボウル</t>
  </si>
  <si>
    <r>
      <rPr>
        <sz val="11"/>
        <color rgb="FF000000"/>
        <rFont val="Meiryo UI"/>
        <family val="0"/>
        <charset val="1"/>
      </rPr>
      <t xml:space="preserve">today`s</t>
    </r>
    <r>
      <rPr>
        <sz val="11"/>
        <color rgb="FF000000"/>
        <rFont val="WenQuanYi Zen Hei"/>
        <family val="2"/>
      </rPr>
      <t xml:space="preserve">カレー</t>
    </r>
  </si>
  <si>
    <r>
      <rPr>
        <sz val="11"/>
        <color rgb="FF000000"/>
        <rFont val="Meiryo UI"/>
        <family val="0"/>
        <charset val="1"/>
      </rPr>
      <t xml:space="preserve">today's</t>
    </r>
    <r>
      <rPr>
        <sz val="11"/>
        <color rgb="FF000000"/>
        <rFont val="WenQuanYi Zen Hei"/>
        <family val="2"/>
      </rPr>
      <t xml:space="preserve">カレー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</si>
  <si>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ハンバーグディッシュ</t>
    </r>
  </si>
  <si>
    <t xml:space="preserve">ハンバーグディッシュ（デミソース）</t>
  </si>
  <si>
    <t xml:space="preserve">近江牛ミンチカレー</t>
  </si>
  <si>
    <t xml:space="preserve">ガーリックシュリンプボウルライス</t>
  </si>
  <si>
    <t xml:space="preserve">ガーリックシュリンプベジボウル</t>
  </si>
  <si>
    <t xml:space="preserve">ガーリックステーキプレート</t>
  </si>
  <si>
    <r>
      <rPr>
        <sz val="11"/>
        <color rgb="FF000000"/>
        <rFont val="Meiryo UI"/>
        <family val="0"/>
        <charset val="1"/>
      </rPr>
      <t xml:space="preserve">today`s</t>
    </r>
    <r>
      <rPr>
        <sz val="11"/>
        <color rgb="FF000000"/>
        <rFont val="WenQuanYi Zen Hei"/>
        <family val="2"/>
      </rPr>
      <t xml:space="preserve">カレーランチ</t>
    </r>
  </si>
  <si>
    <r>
      <rPr>
        <sz val="11"/>
        <color rgb="FF000000"/>
        <rFont val="Meiryo UI"/>
        <family val="0"/>
        <charset val="1"/>
      </rPr>
      <t xml:space="preserve">today's</t>
    </r>
    <r>
      <rPr>
        <sz val="11"/>
        <color rgb="FF000000"/>
        <rFont val="WenQuanYi Zen Hei"/>
        <family val="2"/>
      </rPr>
      <t xml:space="preserve">カレー（ランチセット）</t>
    </r>
  </si>
  <si>
    <t xml:space="preserve">ごはん単品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</si>
  <si>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ポークカツディッシュ</t>
    </r>
  </si>
  <si>
    <t xml:space="preserve">ポークカツディッシュ（デミソース）</t>
  </si>
  <si>
    <t xml:space="preserve">大盛り</t>
  </si>
  <si>
    <t xml:space="preserve">ごはん大盛り</t>
  </si>
  <si>
    <t xml:space="preserve">ポークポパイプレート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</si>
  <si>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チキンディッシュ</t>
    </r>
  </si>
  <si>
    <t xml:space="preserve">チキンディッシュ（トマトソース）</t>
  </si>
  <si>
    <t xml:space="preserve">カルボナーラリゾット</t>
  </si>
  <si>
    <t xml:space="preserve">サーロインステーキ</t>
  </si>
  <si>
    <t xml:space="preserve">ビスクリゾット</t>
  </si>
  <si>
    <t xml:space="preserve">牛タングリル</t>
  </si>
  <si>
    <t xml:space="preserve">仙台牛タンのグリル</t>
  </si>
  <si>
    <t xml:space="preserve">チキンのトマト煮</t>
  </si>
  <si>
    <t xml:space="preserve">チキンのトマト煮込み</t>
  </si>
  <si>
    <t xml:space="preserve">煮込みハンバーグ</t>
  </si>
  <si>
    <t xml:space="preserve">ジャーマンヴルスト</t>
  </si>
  <si>
    <t xml:space="preserve">お肉みっちみち！ジャーマンヴルスト</t>
  </si>
  <si>
    <t xml:space="preserve">カレーリゾット</t>
  </si>
  <si>
    <r>
      <rPr>
        <sz val="11"/>
        <color rgb="FF000000"/>
        <rFont val="WenQuanYi Zen Hei"/>
        <family val="2"/>
      </rPr>
      <t xml:space="preserve">ごはんセット</t>
    </r>
    <r>
      <rPr>
        <sz val="11"/>
        <color rgb="FF000000"/>
        <rFont val="Meiryo U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味噌汁</t>
    </r>
    <r>
      <rPr>
        <sz val="11"/>
        <color rgb="FF000000"/>
        <rFont val="Meiryo UI"/>
        <family val="0"/>
        <charset val="1"/>
      </rPr>
      <t xml:space="preserve">)</t>
    </r>
  </si>
  <si>
    <t xml:space="preserve">ごはんセット（味噌汁）</t>
  </si>
  <si>
    <r>
      <rPr>
        <sz val="11"/>
        <color rgb="FF000000"/>
        <rFont val="Meiryo UI"/>
        <family val="0"/>
        <charset val="1"/>
      </rPr>
      <t xml:space="preserve">Todays</t>
    </r>
    <r>
      <rPr>
        <sz val="11"/>
        <color rgb="FF000000"/>
        <rFont val="WenQuanYi Zen Hei"/>
        <family val="2"/>
      </rPr>
      <t xml:space="preserve">カレーランチ</t>
    </r>
  </si>
  <si>
    <t xml:space="preserve">カンパーニュスープセット</t>
  </si>
  <si>
    <t xml:space="preserve">カンパーニュ単品</t>
  </si>
  <si>
    <t xml:space="preserve">ご飯大盛り</t>
  </si>
  <si>
    <t xml:space="preserve">揚げ物盛り合わせ</t>
  </si>
  <si>
    <t xml:space="preserve">揚げ物盛り合わせ（からあげ・ポテト・イカ）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</si>
  <si>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マルゲリータ</t>
    </r>
  </si>
  <si>
    <t xml:space="preserve">マルゲリータ</t>
  </si>
  <si>
    <t xml:space="preserve">ポテトフライ</t>
  </si>
  <si>
    <t xml:space="preserve">ローストビーフサラダ</t>
  </si>
  <si>
    <t xml:space="preserve">たこやき</t>
  </si>
  <si>
    <t xml:space="preserve">たこ焼き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</si>
  <si>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特製ガーリックピザ</t>
    </r>
  </si>
  <si>
    <t xml:space="preserve">特製ガーリックピザ</t>
  </si>
  <si>
    <t xml:space="preserve">エビとブロッコリーのフレンチサラダ</t>
  </si>
  <si>
    <t xml:space="preserve">ピザポテト</t>
  </si>
  <si>
    <t xml:space="preserve">温玉シーザーサラダ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</si>
  <si>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生ハムカマンベール</t>
    </r>
  </si>
  <si>
    <t xml:space="preserve">生ハム＆カマンベールチーズ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</si>
  <si>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ビスククリームピザ</t>
    </r>
  </si>
  <si>
    <t xml:space="preserve">ビスククリームピザ</t>
  </si>
  <si>
    <t xml:space="preserve">カリカリチーズフライ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</si>
  <si>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枝豆</t>
    </r>
  </si>
  <si>
    <t xml:space="preserve">枝豆</t>
  </si>
  <si>
    <t xml:space="preserve">特製からあげ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</si>
  <si>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ローストビーフユッケ</t>
    </r>
  </si>
  <si>
    <t xml:space="preserve">ローストビーフユッケ</t>
  </si>
  <si>
    <t xml:space="preserve">ベーコンとほうれん草のソテー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</si>
  <si>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サーモンマリネ</t>
    </r>
  </si>
  <si>
    <t xml:space="preserve">サーモンマリネ</t>
  </si>
  <si>
    <r>
      <rPr>
        <sz val="11"/>
        <color rgb="FF000000"/>
        <rFont val="Meiryo UI"/>
        <family val="0"/>
        <charset val="1"/>
      </rPr>
      <t xml:space="preserve">2025)irodori</t>
    </r>
    <r>
      <rPr>
        <sz val="11"/>
        <color rgb="FF000000"/>
        <rFont val="WenQuanYi Zen Hei"/>
        <family val="2"/>
      </rPr>
      <t xml:space="preserve">自家製ピクルス</t>
    </r>
  </si>
  <si>
    <r>
      <rPr>
        <sz val="11"/>
        <color rgb="FF000000"/>
        <rFont val="Meiryo UI"/>
        <family val="0"/>
        <charset val="1"/>
      </rPr>
      <t xml:space="preserve">irodori</t>
    </r>
    <r>
      <rPr>
        <sz val="11"/>
        <color rgb="FF000000"/>
        <rFont val="WenQuanYi Zen Hei"/>
        <family val="2"/>
      </rPr>
      <t xml:space="preserve">自家製ピクルス</t>
    </r>
  </si>
  <si>
    <t xml:space="preserve">アヒージョ</t>
  </si>
  <si>
    <t xml:space="preserve">ミニじゃがバター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</si>
  <si>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トルティーヤサーモンアボカド</t>
    </r>
  </si>
  <si>
    <t xml:space="preserve">トルティーヤ サーモンアボカド</t>
  </si>
  <si>
    <t xml:space="preserve">生ハムサラダ</t>
  </si>
  <si>
    <t xml:space="preserve">イカの唐揚げカラマフリット</t>
  </si>
  <si>
    <t xml:space="preserve">イカの唐揚げ カラマリフリット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</si>
  <si>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カナッペ</t>
    </r>
  </si>
  <si>
    <t xml:space="preserve">カナッペ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</si>
  <si>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ガーリックシュリンプ</t>
    </r>
  </si>
  <si>
    <t xml:space="preserve">ガーリックシュリンプ</t>
  </si>
  <si>
    <t xml:space="preserve">おつまみマヨコーンピザ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</si>
  <si>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ミックスナッツ</t>
    </r>
  </si>
  <si>
    <t xml:space="preserve">ミックスナッツ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</si>
  <si>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トルティーヤ照り焼き</t>
    </r>
  </si>
  <si>
    <t xml:space="preserve">トルティーヤ 照り焼きチキン</t>
  </si>
  <si>
    <t xml:space="preserve">ベーコーン</t>
  </si>
  <si>
    <t xml:space="preserve">旨カラ牛バラ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</si>
  <si>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トルティーヤ生ハム</t>
    </r>
  </si>
  <si>
    <t xml:space="preserve">トルティーヤ 生ハムカマンベール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</si>
  <si>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トルティーヤコリアンエビ</t>
    </r>
  </si>
  <si>
    <t xml:space="preserve">トルティーヤ コリアンエビ</t>
  </si>
  <si>
    <t xml:space="preserve">生ハム</t>
  </si>
  <si>
    <t xml:space="preserve">タパス</t>
  </si>
  <si>
    <t xml:space="preserve">ガーリック枝豆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</si>
  <si>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トルティーヤエビフライ</t>
    </r>
  </si>
  <si>
    <t xml:space="preserve">トルティーヤ エビフライ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</si>
  <si>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シュリンプカクテル</t>
    </r>
  </si>
  <si>
    <t xml:space="preserve">シュリンプカクテル</t>
  </si>
  <si>
    <t xml:space="preserve">カマンベールチーズ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</si>
  <si>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ソフトクリーム</t>
    </r>
  </si>
  <si>
    <t xml:space="preserve">ソフトクリーム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</si>
  <si>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チョコバナナパフェ</t>
    </r>
  </si>
  <si>
    <t xml:space="preserve">チョコバナナミニパフェ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</si>
  <si>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白玉黒蜜きなこパフェ</t>
    </r>
  </si>
  <si>
    <t xml:space="preserve">白玉サンデー黒蜜きなこミニパフェ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</si>
  <si>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白玉抹茶パフェ</t>
    </r>
  </si>
  <si>
    <t xml:space="preserve">抹茶ミニパフェ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</si>
  <si>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ストロベリーパフェ</t>
    </r>
  </si>
  <si>
    <t xml:space="preserve">ストロベリーのミニパフェ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</si>
  <si>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マンゴーパフェ</t>
    </r>
  </si>
  <si>
    <t xml:space="preserve">マンゴーミニパフェ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</si>
  <si>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チョコバナナトルティーヤ</t>
    </r>
  </si>
  <si>
    <t xml:space="preserve">チョコバナナトルティーヤ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</si>
  <si>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ストロベリートルティーヤ</t>
    </r>
  </si>
  <si>
    <t xml:space="preserve">ストロベリートルティーヤ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</si>
  <si>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ブルーベリーパフェ</t>
    </r>
  </si>
  <si>
    <t xml:space="preserve">ブルーベリーのミニパフェ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</si>
  <si>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白玉抹茶トルティーヤ</t>
    </r>
  </si>
  <si>
    <t xml:space="preserve">抹茶トルティーヤ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</si>
  <si>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ブルーベリートルティーヤ</t>
    </r>
  </si>
  <si>
    <t xml:space="preserve">ブルーベリートルティーヤ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</si>
  <si>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マンゴートルティーヤ</t>
    </r>
  </si>
  <si>
    <t xml:space="preserve">マンゴートルティーヤ</t>
  </si>
  <si>
    <t xml:space="preserve">（価格表になし）</t>
  </si>
  <si>
    <t xml:space="preserve">対象外</t>
  </si>
  <si>
    <t xml:space="preserve">神田家ラーメン ライスセット</t>
  </si>
  <si>
    <r>
      <rPr>
        <sz val="11"/>
        <color rgb="FF000000"/>
        <rFont val="WenQuanYi Zen Hei"/>
        <family val="2"/>
      </rPr>
      <t xml:space="preserve">従食</t>
    </r>
    <r>
      <rPr>
        <sz val="11"/>
        <color rgb="FF000000"/>
        <rFont val="Meiryo UI"/>
        <family val="0"/>
        <charset val="1"/>
      </rPr>
      <t xml:space="preserve">400</t>
    </r>
    <r>
      <rPr>
        <sz val="11"/>
        <color rgb="FF000000"/>
        <rFont val="WenQuanYi Zen Hei"/>
        <family val="2"/>
      </rPr>
      <t xml:space="preserve">円</t>
    </r>
    <r>
      <rPr>
        <sz val="11"/>
        <color rgb="FF000000"/>
        <rFont val="Meiryo U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割引しない</t>
    </r>
    <r>
      <rPr>
        <sz val="11"/>
        <color rgb="FF000000"/>
        <rFont val="Meiryo UI"/>
        <family val="0"/>
        <charset val="1"/>
      </rPr>
      <t xml:space="preserve">)</t>
    </r>
  </si>
  <si>
    <t xml:space="preserve">神田家ラーメン</t>
  </si>
  <si>
    <t xml:space="preserve">リポメロン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</si>
  <si>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ハイボール</t>
    </r>
    <r>
      <rPr>
        <sz val="11"/>
        <color rgb="FF000000"/>
        <rFont val="Meiryo UI"/>
        <family val="0"/>
        <charset val="1"/>
      </rPr>
      <t xml:space="preserve">JUG</t>
    </r>
  </si>
  <si>
    <r>
      <rPr>
        <sz val="11"/>
        <color rgb="FF000000"/>
        <rFont val="WenQuanYi Zen Hei"/>
        <family val="2"/>
      </rPr>
      <t xml:space="preserve">夏差</t>
    </r>
    <r>
      <rPr>
        <sz val="11"/>
        <color rgb="FF000000"/>
        <rFont val="Meiryo U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極楽冷麺</t>
    </r>
  </si>
  <si>
    <t xml:space="preserve">特濃油そば ライスセット</t>
  </si>
  <si>
    <r>
      <rPr>
        <sz val="11"/>
        <color rgb="FF000000"/>
        <rFont val="WenQuanYi Zen Hei"/>
        <family val="2"/>
      </rPr>
      <t xml:space="preserve">夏差</t>
    </r>
    <r>
      <rPr>
        <sz val="11"/>
        <color rgb="FF000000"/>
        <rFont val="Meiryo U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冷製ゆず塩ラーメン</t>
    </r>
  </si>
  <si>
    <r>
      <rPr>
        <sz val="11"/>
        <color rgb="FF000000"/>
        <rFont val="WenQuanYi Zen Hei"/>
        <family val="2"/>
      </rPr>
      <t xml:space="preserve">うどん</t>
    </r>
    <r>
      <rPr>
        <sz val="11"/>
        <color rgb="FF000000"/>
        <rFont val="Meiryo UI"/>
        <family val="0"/>
        <charset val="1"/>
      </rPr>
      <t xml:space="preserve">×</t>
    </r>
    <r>
      <rPr>
        <sz val="11"/>
        <color rgb="FF000000"/>
        <rFont val="WenQuanYi Zen Hei"/>
        <family val="2"/>
      </rPr>
      <t xml:space="preserve">サーモンベジ</t>
    </r>
  </si>
  <si>
    <t xml:space="preserve">特濃油そば</t>
  </si>
  <si>
    <r>
      <rPr>
        <sz val="11"/>
        <color rgb="FF000000"/>
        <rFont val="WenQuanYi Zen Hei"/>
        <family val="2"/>
      </rPr>
      <t xml:space="preserve">夏差</t>
    </r>
    <r>
      <rPr>
        <sz val="11"/>
        <color rgb="FF000000"/>
        <rFont val="Meiryo U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自家製麻婆つけ麺</t>
    </r>
  </si>
  <si>
    <r>
      <rPr>
        <sz val="11"/>
        <color rgb="FF000000"/>
        <rFont val="WenQuanYi Zen Hei"/>
        <family val="2"/>
      </rPr>
      <t xml:space="preserve">うどん</t>
    </r>
    <r>
      <rPr>
        <sz val="11"/>
        <color rgb="FF000000"/>
        <rFont val="Meiryo UI"/>
        <family val="0"/>
        <charset val="1"/>
      </rPr>
      <t xml:space="preserve">×</t>
    </r>
    <r>
      <rPr>
        <sz val="11"/>
        <color rgb="FF000000"/>
        <rFont val="WenQuanYi Zen Hei"/>
        <family val="2"/>
      </rPr>
      <t xml:space="preserve">ローストビーフ丼</t>
    </r>
  </si>
  <si>
    <r>
      <rPr>
        <sz val="11"/>
        <color rgb="FF000000"/>
        <rFont val="WenQuanYi Zen Hei"/>
        <family val="2"/>
      </rPr>
      <t xml:space="preserve">夏差</t>
    </r>
    <r>
      <rPr>
        <sz val="11"/>
        <color rgb="FF000000"/>
        <rFont val="Meiryo U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さっぱり梅極楽冷麺</t>
    </r>
  </si>
  <si>
    <t xml:space="preserve">飲食代</t>
  </si>
  <si>
    <r>
      <rPr>
        <sz val="11"/>
        <color rgb="FF000000"/>
        <rFont val="WenQuanYi Zen Hei"/>
        <family val="2"/>
      </rPr>
      <t xml:space="preserve">アジア</t>
    </r>
    <r>
      <rPr>
        <sz val="11"/>
        <color rgb="FF000000"/>
        <rFont val="Meiryo U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カオマンガイ</t>
    </r>
  </si>
  <si>
    <r>
      <rPr>
        <sz val="11"/>
        <color rgb="FF000000"/>
        <rFont val="WenQuanYi Zen Hei"/>
        <family val="2"/>
      </rPr>
      <t xml:space="preserve">たこ</t>
    </r>
    <r>
      <rPr>
        <sz val="11"/>
        <color rgb="FF000000"/>
        <rFont val="Meiryo U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新鮮たこのカルパッチョ</t>
    </r>
  </si>
  <si>
    <r>
      <rPr>
        <sz val="11"/>
        <color rgb="FF000000"/>
        <rFont val="Meiryo UI"/>
        <family val="0"/>
        <charset val="1"/>
      </rPr>
      <t xml:space="preserve">Todays</t>
    </r>
    <r>
      <rPr>
        <sz val="11"/>
        <color rgb="FF000000"/>
        <rFont val="WenQuanYi Zen Hei"/>
        <family val="2"/>
      </rPr>
      <t xml:space="preserve">デザート</t>
    </r>
  </si>
  <si>
    <r>
      <rPr>
        <sz val="11"/>
        <color rgb="FF000000"/>
        <rFont val="WenQuanYi Zen Hei"/>
        <family val="2"/>
      </rPr>
      <t xml:space="preserve">うどん</t>
    </r>
    <r>
      <rPr>
        <sz val="11"/>
        <color rgb="FF000000"/>
        <rFont val="Meiryo UI"/>
        <family val="0"/>
        <charset val="1"/>
      </rPr>
      <t xml:space="preserve">×</t>
    </r>
    <r>
      <rPr>
        <sz val="11"/>
        <color rgb="FF000000"/>
        <rFont val="WenQuanYi Zen Hei"/>
        <family val="2"/>
      </rPr>
      <t xml:space="preserve">照り焼きチキン</t>
    </r>
  </si>
  <si>
    <r>
      <rPr>
        <sz val="11"/>
        <color rgb="FF000000"/>
        <rFont val="WenQuanYi Zen Hei"/>
        <family val="2"/>
      </rPr>
      <t xml:space="preserve">たこ</t>
    </r>
    <r>
      <rPr>
        <sz val="11"/>
        <color rgb="FF000000"/>
        <rFont val="Meiryo U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たこのガーリックライス</t>
    </r>
  </si>
  <si>
    <r>
      <rPr>
        <sz val="11"/>
        <color rgb="FF000000"/>
        <rFont val="WenQuanYi Zen Hei"/>
        <family val="2"/>
      </rPr>
      <t xml:space="preserve">アジア</t>
    </r>
    <r>
      <rPr>
        <sz val="11"/>
        <color rgb="FF000000"/>
        <rFont val="Meiryo U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タンドリーチキン</t>
    </r>
  </si>
  <si>
    <r>
      <rPr>
        <sz val="11"/>
        <color rgb="FF000000"/>
        <rFont val="WenQuanYi Zen Hei"/>
        <family val="2"/>
      </rPr>
      <t xml:space="preserve">アジア</t>
    </r>
    <r>
      <rPr>
        <sz val="11"/>
        <color rgb="FF000000"/>
        <rFont val="Meiryo U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彩りグリーンカレー</t>
    </r>
  </si>
  <si>
    <r>
      <rPr>
        <sz val="11"/>
        <color rgb="FF000000"/>
        <rFont val="WenQuanYi Zen Hei"/>
        <family val="2"/>
      </rPr>
      <t xml:space="preserve">アジア</t>
    </r>
    <r>
      <rPr>
        <sz val="11"/>
        <color rgb="FF000000"/>
        <rFont val="Meiryo U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モチモチパフェ</t>
    </r>
  </si>
  <si>
    <r>
      <rPr>
        <sz val="11"/>
        <color rgb="FF000000"/>
        <rFont val="WenQuanYi Zen Hei"/>
        <family val="2"/>
      </rPr>
      <t xml:space="preserve">観戦セット</t>
    </r>
    <r>
      <rPr>
        <sz val="11"/>
        <color rgb="FF000000"/>
        <rFont val="Meiryo UI"/>
        <family val="0"/>
        <charset val="1"/>
      </rPr>
      <t xml:space="preserve">A</t>
    </r>
  </si>
  <si>
    <t xml:space="preserve">温玉</t>
  </si>
  <si>
    <r>
      <rPr>
        <sz val="11"/>
        <color rgb="FF000000"/>
        <rFont val="WenQuanYi Zen Hei"/>
        <family val="2"/>
      </rPr>
      <t xml:space="preserve">うどん</t>
    </r>
    <r>
      <rPr>
        <sz val="11"/>
        <color rgb="FF000000"/>
        <rFont val="Meiryo UI"/>
        <family val="0"/>
        <charset val="1"/>
      </rPr>
      <t xml:space="preserve">×</t>
    </r>
    <r>
      <rPr>
        <sz val="11"/>
        <color rgb="FF000000"/>
        <rFont val="WenQuanYi Zen Hei"/>
        <family val="2"/>
      </rPr>
      <t xml:space="preserve">日替わり丼</t>
    </r>
  </si>
  <si>
    <t xml:space="preserve">クエン酸サワー</t>
  </si>
  <si>
    <r>
      <rPr>
        <sz val="11"/>
        <color rgb="FF000000"/>
        <rFont val="WenQuanYi Zen Hei"/>
        <family val="2"/>
      </rPr>
      <t xml:space="preserve">観戦セット</t>
    </r>
    <r>
      <rPr>
        <sz val="11"/>
        <color rgb="FF000000"/>
        <rFont val="Meiryo UI"/>
        <family val="0"/>
        <charset val="1"/>
      </rPr>
      <t xml:space="preserve">C</t>
    </r>
  </si>
  <si>
    <r>
      <rPr>
        <sz val="11"/>
        <color rgb="FF000000"/>
        <rFont val="WenQuanYi Zen Hei"/>
        <family val="2"/>
      </rPr>
      <t xml:space="preserve">うどん</t>
    </r>
    <r>
      <rPr>
        <sz val="11"/>
        <color rgb="FF000000"/>
        <rFont val="Meiryo UI"/>
        <family val="0"/>
        <charset val="1"/>
      </rPr>
      <t xml:space="preserve">×</t>
    </r>
    <r>
      <rPr>
        <sz val="11"/>
        <color rgb="FF000000"/>
        <rFont val="WenQuanYi Zen Hei"/>
        <family val="2"/>
      </rPr>
      <t xml:space="preserve">チャーシュー丼</t>
    </r>
  </si>
  <si>
    <t xml:space="preserve">本格ジンジャーサワー</t>
  </si>
  <si>
    <t xml:space="preserve">小マルエフ</t>
  </si>
  <si>
    <t xml:space="preserve">チーズ</t>
  </si>
  <si>
    <t xml:space="preserve">小スーパードライ</t>
  </si>
  <si>
    <t xml:space="preserve">小黒生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</si>
  <si>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コークハイ</t>
    </r>
    <r>
      <rPr>
        <sz val="11"/>
        <color rgb="FF000000"/>
        <rFont val="Meiryo UI"/>
        <family val="0"/>
        <charset val="1"/>
      </rPr>
      <t xml:space="preserve">JUG</t>
    </r>
  </si>
  <si>
    <r>
      <rPr>
        <sz val="11"/>
        <color rgb="FF000000"/>
        <rFont val="WenQuanYi Zen Hei"/>
        <family val="2"/>
      </rPr>
      <t xml:space="preserve">観戦セット</t>
    </r>
    <r>
      <rPr>
        <sz val="11"/>
        <color rgb="FF000000"/>
        <rFont val="Meiryo UI"/>
        <family val="0"/>
        <charset val="1"/>
      </rPr>
      <t xml:space="preserve">B</t>
    </r>
  </si>
  <si>
    <t xml:space="preserve">からあげ</t>
  </si>
  <si>
    <t xml:space="preserve">小熟選</t>
  </si>
  <si>
    <r>
      <rPr>
        <sz val="11"/>
        <color rgb="FF000000"/>
        <rFont val="WenQuanYi Zen Hei"/>
        <family val="2"/>
      </rPr>
      <t xml:space="preserve">たこ</t>
    </r>
    <r>
      <rPr>
        <sz val="11"/>
        <color rgb="FF000000"/>
        <rFont val="Meiryo U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たこじゃがパセリバター</t>
    </r>
  </si>
  <si>
    <t xml:space="preserve">リポップティー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</si>
  <si>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むぎハイ</t>
    </r>
    <r>
      <rPr>
        <sz val="11"/>
        <color rgb="FF000000"/>
        <rFont val="Meiryo UI"/>
        <family val="0"/>
        <charset val="1"/>
      </rPr>
      <t xml:space="preserve">JUG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</si>
  <si>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ジンジャーハイ</t>
    </r>
    <r>
      <rPr>
        <sz val="11"/>
        <color rgb="FF000000"/>
        <rFont val="Meiryo UI"/>
        <family val="0"/>
        <charset val="1"/>
      </rPr>
      <t xml:space="preserve">JUG</t>
    </r>
  </si>
  <si>
    <t xml:space="preserve">ハイボール半額</t>
  </si>
  <si>
    <t xml:space="preserve">【半額】ソフトクリーム</t>
  </si>
  <si>
    <t xml:space="preserve">マイルド系麻辣湯</t>
  </si>
  <si>
    <r>
      <rPr>
        <sz val="11"/>
        <color rgb="FF000000"/>
        <rFont val="WenQuanYi Zen Hei"/>
        <family val="2"/>
      </rPr>
      <t xml:space="preserve">東</t>
    </r>
    <r>
      <rPr>
        <sz val="11"/>
        <color rgb="FF000000"/>
        <rFont val="Meiryo UI"/>
        <family val="0"/>
        <charset val="1"/>
      </rPr>
      <t xml:space="preserve">13)</t>
    </r>
    <r>
      <rPr>
        <sz val="11"/>
        <color rgb="FF000000"/>
        <rFont val="WenQuanYi Zen Hei"/>
        <family val="2"/>
      </rPr>
      <t xml:space="preserve">そばどぶろく</t>
    </r>
  </si>
  <si>
    <r>
      <rPr>
        <sz val="11"/>
        <color rgb="FF000000"/>
        <rFont val="WenQuanYi Zen Hei"/>
        <family val="2"/>
      </rPr>
      <t xml:space="preserve">たこ</t>
    </r>
    <r>
      <rPr>
        <sz val="11"/>
        <color rgb="FF000000"/>
        <rFont val="Meiryo UI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たこきゅうり酢の物</t>
    </r>
  </si>
  <si>
    <r>
      <rPr>
        <sz val="11"/>
        <color rgb="FF000000"/>
        <rFont val="WenQuanYi Zen Hei"/>
        <family val="2"/>
      </rPr>
      <t xml:space="preserve">東</t>
    </r>
    <r>
      <rPr>
        <sz val="11"/>
        <color rgb="FF000000"/>
        <rFont val="Meiryo UI"/>
        <family val="0"/>
        <charset val="1"/>
      </rPr>
      <t xml:space="preserve">11)</t>
    </r>
    <r>
      <rPr>
        <sz val="11"/>
        <color rgb="FF000000"/>
        <rFont val="WenQuanYi Zen Hei"/>
        <family val="2"/>
      </rPr>
      <t xml:space="preserve">どぶろくながい中辛</t>
    </r>
  </si>
  <si>
    <t xml:space="preserve">レモンサワー半額</t>
  </si>
  <si>
    <t xml:space="preserve">けずりいちご</t>
  </si>
  <si>
    <r>
      <rPr>
        <sz val="11"/>
        <color rgb="FF000000"/>
        <rFont val="WenQuanYi Zen Hei"/>
        <family val="2"/>
      </rPr>
      <t xml:space="preserve">東</t>
    </r>
    <r>
      <rPr>
        <sz val="11"/>
        <color rgb="FF000000"/>
        <rFont val="Meiryo UI"/>
        <family val="0"/>
        <charset val="1"/>
      </rPr>
      <t xml:space="preserve">10)</t>
    </r>
    <r>
      <rPr>
        <sz val="11"/>
        <color rgb="FF000000"/>
        <rFont val="WenQuanYi Zen Hei"/>
        <family val="2"/>
      </rPr>
      <t xml:space="preserve">どぶろくながい辛口</t>
    </r>
  </si>
  <si>
    <r>
      <rPr>
        <sz val="11"/>
        <color rgb="FF000000"/>
        <rFont val="WenQuanYi Zen Hei"/>
        <family val="2"/>
      </rPr>
      <t xml:space="preserve">東</t>
    </r>
    <r>
      <rPr>
        <sz val="11"/>
        <color rgb="FF000000"/>
        <rFont val="Meiryo UI"/>
        <family val="0"/>
        <charset val="1"/>
      </rPr>
      <t xml:space="preserve">14)</t>
    </r>
    <r>
      <rPr>
        <sz val="11"/>
        <color rgb="FF000000"/>
        <rFont val="WenQuanYi Zen Hei"/>
        <family val="2"/>
      </rPr>
      <t xml:space="preserve">はだか麦どぶろく</t>
    </r>
  </si>
  <si>
    <t xml:space="preserve">旨辛ヤンニョムヒレカツ丼</t>
  </si>
  <si>
    <t xml:space="preserve">けずりいちごミルク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</si>
  <si>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いもハイ</t>
    </r>
    <r>
      <rPr>
        <sz val="11"/>
        <color rgb="FF000000"/>
        <rFont val="Meiryo UI"/>
        <family val="0"/>
        <charset val="1"/>
      </rPr>
      <t xml:space="preserve">JUG</t>
    </r>
  </si>
  <si>
    <r>
      <rPr>
        <sz val="11"/>
        <color rgb="FF000000"/>
        <rFont val="WenQuanYi Zen Hei"/>
        <family val="2"/>
      </rPr>
      <t xml:space="preserve">コーラ</t>
    </r>
    <r>
      <rPr>
        <sz val="11"/>
        <color rgb="FF000000"/>
        <rFont val="Meiryo UI"/>
        <family val="0"/>
        <charset val="1"/>
      </rPr>
      <t xml:space="preserve">100</t>
    </r>
    <r>
      <rPr>
        <sz val="11"/>
        <color rgb="FF000000"/>
        <rFont val="WenQuanYi Zen Hei"/>
        <family val="2"/>
      </rPr>
      <t xml:space="preserve">円引き</t>
    </r>
  </si>
  <si>
    <r>
      <rPr>
        <sz val="11"/>
        <color rgb="FF000000"/>
        <rFont val="WenQuanYi Zen Hei"/>
        <family val="2"/>
      </rPr>
      <t xml:space="preserve">東</t>
    </r>
    <r>
      <rPr>
        <sz val="11"/>
        <color rgb="FF000000"/>
        <rFont val="Meiryo UI"/>
        <family val="0"/>
        <charset val="1"/>
      </rPr>
      <t xml:space="preserve">12)</t>
    </r>
    <r>
      <rPr>
        <sz val="11"/>
        <color rgb="FF000000"/>
        <rFont val="WenQuanYi Zen Hei"/>
        <family val="2"/>
      </rPr>
      <t xml:space="preserve">どぶろくながい甘口</t>
    </r>
  </si>
  <si>
    <r>
      <rPr>
        <sz val="11"/>
        <color rgb="FF000000"/>
        <rFont val="WenQuanYi Zen Hei"/>
        <family val="2"/>
      </rPr>
      <t xml:space="preserve">従食</t>
    </r>
    <r>
      <rPr>
        <sz val="11"/>
        <color rgb="FF000000"/>
        <rFont val="Meiryo UI"/>
        <family val="0"/>
        <charset val="1"/>
      </rPr>
      <t xml:space="preserve">300</t>
    </r>
    <r>
      <rPr>
        <sz val="11"/>
        <color rgb="FF000000"/>
        <rFont val="WenQuanYi Zen Hei"/>
        <family val="2"/>
      </rPr>
      <t xml:space="preserve">円</t>
    </r>
    <r>
      <rPr>
        <sz val="11"/>
        <color rgb="FF000000"/>
        <rFont val="Meiryo U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割引しない</t>
    </r>
    <r>
      <rPr>
        <sz val="11"/>
        <color rgb="FF000000"/>
        <rFont val="Meiryo UI"/>
        <family val="0"/>
        <charset val="1"/>
      </rPr>
      <t xml:space="preserve">)</t>
    </r>
  </si>
  <si>
    <r>
      <rPr>
        <sz val="11"/>
        <color rgb="FF000000"/>
        <rFont val="Meiryo UI"/>
        <family val="0"/>
        <charset val="1"/>
      </rPr>
      <t xml:space="preserve">+50</t>
    </r>
    <r>
      <rPr>
        <sz val="11"/>
        <color rgb="FF000000"/>
        <rFont val="WenQuanYi Zen Hei"/>
        <family val="2"/>
      </rPr>
      <t xml:space="preserve">円コーラ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</si>
  <si>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ハーフサラダ</t>
    </r>
  </si>
  <si>
    <t xml:space="preserve">合計（コラボ抜き）</t>
  </si>
  <si>
    <r>
      <rPr>
        <sz val="9"/>
        <color rgb="FF595959"/>
        <rFont val="WenQuanYi Zen Hei"/>
        <family val="2"/>
      </rPr>
      <t xml:space="preserve">※ コラボ商品（</t>
    </r>
    <r>
      <rPr>
        <sz val="9"/>
        <color rgb="FF595959"/>
        <rFont val="Meiryo UI"/>
        <family val="0"/>
        <charset val="1"/>
      </rPr>
      <t xml:space="preserve">FA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Meiryo UI"/>
        <family val="0"/>
        <charset val="1"/>
      </rPr>
      <t xml:space="preserve">JKT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Meiryo UI"/>
        <family val="0"/>
        <charset val="1"/>
      </rPr>
      <t xml:space="preserve">PKT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Meiryo UI"/>
        <family val="0"/>
        <charset val="1"/>
      </rPr>
      <t xml:space="preserve">ESW</t>
    </r>
    <r>
      <rPr>
        <sz val="9"/>
        <color rgb="FF595959"/>
        <rFont val="WenQuanYi Zen Hei"/>
        <family val="2"/>
      </rPr>
      <t xml:space="preserve">）は値上げ対象外のため除外。オプション（温玉・チーズ等）や</t>
    </r>
    <r>
      <rPr>
        <sz val="9"/>
        <color rgb="FF595959"/>
        <rFont val="Meiryo UI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円の選択項目も除外。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</si>
</sst>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\+#,##0;\-#,##0;0"/>
    <numFmt numFmtId="168" formatCode="\+0.0&quot;pt&quot;;\-0.0&quot;pt&quot;;0.0&quot;pt&quot;"/>
    <numFmt numFmtId="169" formatCode="0.00"/>
    <numFmt numFmtId="170" formatCode="\+0.0%;\-0.0%;0.0%"/>
    <numFmt numFmtId="171" formatCode="#,##0&quot; 千円&quot;"/>
    <numFmt numFmtId="172" formatCode="0"/>
    <numFmt numFmtId="173" formatCode="#,##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Meiryo UI"/>
      <family val="0"/>
      <charset val="1"/>
    </font>
    <font>
      <b val="true"/>
      <sz val="14"/>
      <color rgb="FF1F3864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Meiryo UI"/>
      <family val="0"/>
      <charset val="1"/>
    </font>
    <font>
      <b val="true"/>
      <sz val="11"/>
      <color rgb="FF1F3864"/>
      <name val="WenQuanYi Zen Hei"/>
      <family val="2"/>
    </font>
    <font>
      <b val="true"/>
      <sz val="11"/>
      <color rgb="FF1F3864"/>
      <name val="Meiryo UI"/>
      <family val="0"/>
      <charset val="1"/>
    </font>
    <font>
      <b val="true"/>
      <sz val="11"/>
      <color rgb="FFFFFFFF"/>
      <name val="WenQuanYi Zen Hei"/>
      <family val="2"/>
    </font>
    <font>
      <sz val="11"/>
      <color rgb="FF000000"/>
      <name val="WenQuanYi Zen Hei"/>
      <family val="2"/>
    </font>
    <font>
      <sz val="11"/>
      <color rgb="FF0000FF"/>
      <name val="Meiryo UI"/>
      <family val="0"/>
      <charset val="1"/>
    </font>
    <font>
      <sz val="11"/>
      <color rgb="FF000000"/>
      <name val="Meiryo UI"/>
      <family val="0"/>
      <charset val="1"/>
    </font>
    <font>
      <b val="true"/>
      <sz val="11"/>
      <color rgb="FF000000"/>
      <name val="WenQuanYi Zen Hei"/>
      <family val="2"/>
    </font>
    <font>
      <b val="true"/>
      <sz val="11"/>
      <color rgb="FF000000"/>
      <name val="Meiryo UI"/>
      <family val="0"/>
      <charset val="1"/>
    </font>
    <font>
      <b val="true"/>
      <sz val="11"/>
      <color rgb="FFFFFFFF"/>
      <name val="Meiryo UI"/>
      <family val="0"/>
      <charset val="1"/>
    </font>
    <font>
      <b val="true"/>
      <sz val="11"/>
      <color rgb="FF008000"/>
      <name val="Meiryo UI"/>
      <family val="0"/>
      <charset val="1"/>
    </font>
    <font>
      <sz val="9"/>
      <color rgb="FF595959"/>
      <name val="WenQuanYi Zen Hei"/>
      <family val="2"/>
    </font>
    <font>
      <sz val="9"/>
      <color rgb="FF595959"/>
      <name val="Meiryo UI"/>
      <family val="0"/>
      <charset val="1"/>
    </font>
    <font>
      <sz val="11"/>
      <color rgb="FF008000"/>
      <name val="Meiryo U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3"/>
    <col collapsed="false" customWidth="true" hidden="false" outlineLevel="0" max="7" min="7" style="0" width="22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v>61825.8</v>
      </c>
      <c r="C6" s="6" t="n">
        <v>54943.4</v>
      </c>
      <c r="D6" s="7" t="n">
        <f aca="false">C6/B6</f>
        <v>0.888680777280682</v>
      </c>
      <c r="E6" s="6" t="n">
        <v>68259.9</v>
      </c>
      <c r="F6" s="7" t="n">
        <f aca="false">C6/E6</f>
        <v>0.804914744967397</v>
      </c>
      <c r="G6" s="8" t="n">
        <f aca="false">C6-E6</f>
        <v>-13316.5</v>
      </c>
    </row>
    <row r="7" customFormat="false" ht="15" hidden="false" customHeight="false" outlineLevel="0" collapsed="false">
      <c r="A7" s="5" t="s">
        <v>11</v>
      </c>
      <c r="B7" s="6" t="n">
        <v>33007</v>
      </c>
      <c r="C7" s="6" t="n">
        <v>25737.2</v>
      </c>
      <c r="D7" s="7" t="n">
        <f aca="false">C7/B7</f>
        <v>0.779749750053019</v>
      </c>
      <c r="E7" s="6" t="n">
        <v>38650.2</v>
      </c>
      <c r="F7" s="7" t="n">
        <f aca="false">C7/E7</f>
        <v>0.665900823281639</v>
      </c>
      <c r="G7" s="8" t="n">
        <f aca="false">C7-E7</f>
        <v>-12913</v>
      </c>
    </row>
    <row r="8" customFormat="false" ht="15" hidden="false" customHeight="false" outlineLevel="0" collapsed="false">
      <c r="A8" s="5" t="s">
        <v>12</v>
      </c>
      <c r="B8" s="6" t="n">
        <v>28818.8</v>
      </c>
      <c r="C8" s="6" t="n">
        <v>29206.2</v>
      </c>
      <c r="D8" s="7" t="n">
        <f aca="false">C8/B8</f>
        <v>1.01344261384929</v>
      </c>
      <c r="E8" s="6" t="n">
        <v>29609.7</v>
      </c>
      <c r="F8" s="7" t="n">
        <f aca="false">C8/E8</f>
        <v>0.986372708943353</v>
      </c>
      <c r="G8" s="8" t="n">
        <f aca="false">C8-E8</f>
        <v>-403.5</v>
      </c>
    </row>
    <row r="9" customFormat="false" ht="15" hidden="false" customHeight="false" outlineLevel="0" collapsed="false">
      <c r="A9" s="5" t="s">
        <v>13</v>
      </c>
      <c r="B9" s="6" t="n">
        <v>20648.8</v>
      </c>
      <c r="C9" s="6" t="n">
        <v>20011.7</v>
      </c>
      <c r="D9" s="7" t="n">
        <f aca="false">C9/B9</f>
        <v>0.969145906783929</v>
      </c>
      <c r="E9" s="6" t="n">
        <v>22344.5</v>
      </c>
      <c r="F9" s="7" t="n">
        <f aca="false">C9/E9</f>
        <v>0.895598469422006</v>
      </c>
      <c r="G9" s="8" t="n">
        <f aca="false">C9-E9</f>
        <v>-2332.8</v>
      </c>
    </row>
    <row r="10" customFormat="false" ht="15" hidden="false" customHeight="false" outlineLevel="0" collapsed="false">
      <c r="A10" s="5" t="s">
        <v>14</v>
      </c>
      <c r="B10" s="6" t="n">
        <v>41177</v>
      </c>
      <c r="C10" s="6" t="n">
        <v>34931.8</v>
      </c>
      <c r="D10" s="7" t="n">
        <f aca="false">C10/B10</f>
        <v>0.848332807149622</v>
      </c>
      <c r="E10" s="6" t="n">
        <v>45915.4</v>
      </c>
      <c r="F10" s="7" t="n">
        <f aca="false">C10/E10</f>
        <v>0.760786141468875</v>
      </c>
      <c r="G10" s="8" t="n">
        <f aca="false">C10-E10</f>
        <v>-10983.6</v>
      </c>
    </row>
    <row r="11" customFormat="false" ht="15" hidden="false" customHeight="false" outlineLevel="0" collapsed="false">
      <c r="A11" s="9" t="s">
        <v>15</v>
      </c>
      <c r="B11" s="10" t="n">
        <f aca="false">B9/B6</f>
        <v>0.333983547321668</v>
      </c>
      <c r="C11" s="11" t="n">
        <f aca="false">C9/C6</f>
        <v>0.364223910424182</v>
      </c>
      <c r="D11" s="12" t="n">
        <f aca="false">(C11-B11)*100</f>
        <v>3.02403631025137</v>
      </c>
      <c r="E11" s="10" t="n">
        <f aca="false">E9/E6</f>
        <v>0.327344458459506</v>
      </c>
      <c r="F11" s="12" t="n">
        <f aca="false">(C11-E11)*100</f>
        <v>3.68794519646765</v>
      </c>
      <c r="G11" s="13" t="s">
        <v>16</v>
      </c>
    </row>
    <row r="12" customFormat="false" ht="15" hidden="false" customHeight="false" outlineLevel="0" collapsed="false">
      <c r="A12" s="5" t="s">
        <v>17</v>
      </c>
      <c r="B12" s="7" t="n">
        <f aca="false">B7/B6</f>
        <v>0.533870972959509</v>
      </c>
      <c r="C12" s="7" t="n">
        <f aca="false">C7/C6</f>
        <v>0.468431149146212</v>
      </c>
      <c r="D12" s="14" t="n">
        <f aca="false">(C12-B12)*100</f>
        <v>-6.54398238132965</v>
      </c>
      <c r="E12" s="7" t="n">
        <f aca="false">E7/E6</f>
        <v>0.566221163523533</v>
      </c>
      <c r="F12" s="14" t="n">
        <f aca="false">(C12-E12)*100</f>
        <v>-9.77900143773206</v>
      </c>
      <c r="G12" s="5"/>
    </row>
    <row r="13" customFormat="false" ht="15" hidden="false" customHeight="false" outlineLevel="0" collapsed="false">
      <c r="A13" s="15" t="s">
        <v>18</v>
      </c>
      <c r="B13" s="7" t="n">
        <f aca="false">2882.1/8549.2</f>
        <v>0.337119262621064</v>
      </c>
      <c r="C13" s="16" t="n">
        <f aca="false">3274.3/8617.7</f>
        <v>0.379950566856586</v>
      </c>
      <c r="D13" s="14" t="n">
        <f aca="false">(C13-B13)*100</f>
        <v>4.2831304235522</v>
      </c>
      <c r="E13" s="7" t="n">
        <f aca="false">3597.6/10442.7</f>
        <v>0.344508604096642</v>
      </c>
      <c r="F13" s="14" t="n">
        <f aca="false">(C13-E13)*100</f>
        <v>3.54419627599442</v>
      </c>
      <c r="G13" s="5" t="s">
        <v>19</v>
      </c>
    </row>
    <row r="15" customFormat="false" ht="15" hidden="false" customHeight="false" outlineLevel="0" collapsed="false">
      <c r="A15" s="3" t="s">
        <v>20</v>
      </c>
    </row>
    <row r="16" customFormat="false" ht="15" hidden="false" customHeight="false" outlineLevel="0" collapsed="false">
      <c r="A16" s="4" t="s">
        <v>21</v>
      </c>
      <c r="B16" s="4" t="s">
        <v>22</v>
      </c>
      <c r="C16" s="4" t="s">
        <v>23</v>
      </c>
      <c r="D16" s="4" t="s">
        <v>24</v>
      </c>
      <c r="E16" s="4" t="s">
        <v>25</v>
      </c>
      <c r="F16" s="4" t="s">
        <v>26</v>
      </c>
      <c r="G16" s="4" t="s">
        <v>27</v>
      </c>
    </row>
    <row r="17" customFormat="false" ht="15" hidden="false" customHeight="false" outlineLevel="0" collapsed="false">
      <c r="A17" s="9" t="s">
        <v>28</v>
      </c>
      <c r="B17" s="6" t="n">
        <v>3413</v>
      </c>
      <c r="C17" s="6" t="n">
        <v>2064487</v>
      </c>
      <c r="D17" s="6" t="n">
        <v>4415</v>
      </c>
      <c r="E17" s="6" t="n">
        <v>2739753</v>
      </c>
      <c r="F17" s="7" t="n">
        <f aca="false">C17/E17</f>
        <v>0.753530336493837</v>
      </c>
      <c r="G17" s="7" t="n">
        <f aca="false">IF(D17&gt;0,B17/D17,"-")</f>
        <v>0.773046432616082</v>
      </c>
    </row>
    <row r="18" customFormat="false" ht="15" hidden="false" customHeight="false" outlineLevel="0" collapsed="false">
      <c r="A18" s="5" t="s">
        <v>29</v>
      </c>
      <c r="B18" s="6" t="n">
        <v>4017</v>
      </c>
      <c r="C18" s="6" t="n">
        <v>1501751</v>
      </c>
      <c r="D18" s="6" t="n">
        <v>3769</v>
      </c>
      <c r="E18" s="6" t="n">
        <v>1424375</v>
      </c>
      <c r="F18" s="7" t="n">
        <f aca="false">C18/E18</f>
        <v>1.05432277314612</v>
      </c>
      <c r="G18" s="7" t="n">
        <f aca="false">IF(D18&gt;0,B18/D18,"-")</f>
        <v>1.06579994693553</v>
      </c>
    </row>
    <row r="19" customFormat="false" ht="15" hidden="false" customHeight="false" outlineLevel="0" collapsed="false">
      <c r="A19" s="5" t="s">
        <v>30</v>
      </c>
      <c r="B19" s="6" t="n">
        <v>2336</v>
      </c>
      <c r="C19" s="6" t="n">
        <v>2498119</v>
      </c>
      <c r="D19" s="6" t="n">
        <v>2414</v>
      </c>
      <c r="E19" s="6" t="n">
        <v>2324661</v>
      </c>
      <c r="F19" s="7" t="n">
        <f aca="false">C19/E19</f>
        <v>1.07461647096071</v>
      </c>
      <c r="G19" s="7" t="n">
        <f aca="false">IF(D19&gt;0,B19/D19,"-")</f>
        <v>0.967688483844242</v>
      </c>
    </row>
    <row r="20" customFormat="false" ht="15" hidden="false" customHeight="false" outlineLevel="0" collapsed="false">
      <c r="A20" s="5" t="s">
        <v>31</v>
      </c>
      <c r="B20" s="6" t="n">
        <v>4213</v>
      </c>
      <c r="C20" s="6" t="n">
        <v>4640988</v>
      </c>
      <c r="D20" s="6" t="n">
        <v>3552</v>
      </c>
      <c r="E20" s="6" t="n">
        <v>3605428</v>
      </c>
      <c r="F20" s="7" t="n">
        <f aca="false">C20/E20</f>
        <v>1.28722248787107</v>
      </c>
      <c r="G20" s="7" t="n">
        <f aca="false">IF(D20&gt;0,B20/D20,"-")</f>
        <v>1.18609234234234</v>
      </c>
    </row>
    <row r="21" customFormat="false" ht="15" hidden="false" customHeight="false" outlineLevel="0" collapsed="false">
      <c r="A21" s="5" t="s">
        <v>32</v>
      </c>
      <c r="B21" s="6" t="n">
        <v>3125</v>
      </c>
      <c r="C21" s="6" t="n">
        <v>2319191</v>
      </c>
      <c r="D21" s="6" t="n">
        <v>3971</v>
      </c>
      <c r="E21" s="6" t="n">
        <v>2760249</v>
      </c>
      <c r="F21" s="7" t="n">
        <f aca="false">C21/E21</f>
        <v>0.840210792577047</v>
      </c>
      <c r="G21" s="7" t="n">
        <f aca="false">IF(D21&gt;0,B21/D21,"-")</f>
        <v>0.786955426844624</v>
      </c>
    </row>
    <row r="22" customFormat="false" ht="15" hidden="false" customHeight="false" outlineLevel="0" collapsed="false">
      <c r="A22" s="5" t="s">
        <v>33</v>
      </c>
      <c r="B22" s="6" t="n">
        <v>1251</v>
      </c>
      <c r="C22" s="6" t="n">
        <v>607609</v>
      </c>
      <c r="D22" s="6" t="n">
        <v>1307</v>
      </c>
      <c r="E22" s="6" t="n">
        <v>644282</v>
      </c>
      <c r="F22" s="7" t="n">
        <f aca="false">C22/E22</f>
        <v>0.943079272740819</v>
      </c>
      <c r="G22" s="7" t="n">
        <f aca="false">IF(D22&gt;0,B22/D22,"-")</f>
        <v>0.957153787299158</v>
      </c>
    </row>
    <row r="23" customFormat="false" ht="15" hidden="false" customHeight="false" outlineLevel="0" collapsed="false">
      <c r="A23" s="5" t="s">
        <v>34</v>
      </c>
      <c r="B23" s="6" t="n">
        <v>9</v>
      </c>
      <c r="C23" s="6" t="n">
        <v>6507</v>
      </c>
      <c r="D23" s="6" t="n">
        <v>133</v>
      </c>
      <c r="E23" s="6" t="n">
        <v>116063</v>
      </c>
      <c r="F23" s="7" t="n">
        <f aca="false">C23/E23</f>
        <v>0.0560643788287396</v>
      </c>
      <c r="G23" s="7" t="n">
        <f aca="false">IF(D23&gt;0,B23/D23,"-")</f>
        <v>0.0676691729323308</v>
      </c>
    </row>
    <row r="24" customFormat="false" ht="15" hidden="false" customHeight="false" outlineLevel="0" collapsed="false">
      <c r="A24" s="5" t="s">
        <v>35</v>
      </c>
      <c r="B24" s="6" t="n">
        <v>34717</v>
      </c>
      <c r="C24" s="6" t="n">
        <v>31561</v>
      </c>
      <c r="D24" s="6" t="n">
        <v>-277</v>
      </c>
      <c r="E24" s="6" t="n">
        <v>36448</v>
      </c>
      <c r="F24" s="7" t="n">
        <f aca="false">C24/E24</f>
        <v>0.865918568920105</v>
      </c>
      <c r="G24" s="7" t="str">
        <f aca="false">IF(D24&gt;0,B24/D24,"-")</f>
        <v>-</v>
      </c>
    </row>
    <row r="25" customFormat="false" ht="15" hidden="false" customHeight="false" outlineLevel="0" collapsed="false">
      <c r="A25" s="5" t="s">
        <v>36</v>
      </c>
      <c r="B25" s="6" t="n">
        <v>1590</v>
      </c>
      <c r="C25" s="6" t="n">
        <v>432229</v>
      </c>
      <c r="D25" s="6" t="n">
        <v>1656</v>
      </c>
      <c r="E25" s="6" t="n">
        <v>83138</v>
      </c>
      <c r="F25" s="7" t="n">
        <f aca="false">C25/E25</f>
        <v>5.1989343020039</v>
      </c>
      <c r="G25" s="7" t="n">
        <f aca="false">IF(D25&gt;0,B25/D25,"-")</f>
        <v>0.960144927536232</v>
      </c>
    </row>
    <row r="26" customFormat="false" ht="15" hidden="false" customHeight="false" outlineLevel="0" collapsed="false">
      <c r="A26" s="5" t="s">
        <v>37</v>
      </c>
      <c r="B26" s="6" t="n">
        <v>10983</v>
      </c>
      <c r="C26" s="6" t="n">
        <v>14608931</v>
      </c>
      <c r="D26" s="6" t="n">
        <v>18021</v>
      </c>
      <c r="E26" s="6" t="n">
        <v>23070708</v>
      </c>
      <c r="F26" s="7" t="n">
        <f aca="false">C26/E26</f>
        <v>0.633224216612685</v>
      </c>
      <c r="G26" s="7" t="n">
        <f aca="false">IF(D26&gt;0,B26/D26,"-")</f>
        <v>0.609455635092392</v>
      </c>
    </row>
    <row r="27" customFormat="false" ht="15" hidden="false" customHeight="false" outlineLevel="0" collapsed="false">
      <c r="A27" s="17" t="s">
        <v>38</v>
      </c>
      <c r="B27" s="5"/>
      <c r="C27" s="18" t="n">
        <f aca="false">SUM(C17:C25)</f>
        <v>14102442</v>
      </c>
      <c r="D27" s="5"/>
      <c r="E27" s="18" t="n">
        <f aca="false">SUM(E17:E25)</f>
        <v>13734397</v>
      </c>
      <c r="F27" s="16" t="n">
        <f aca="false">C27/E27</f>
        <v>1.0267973177126</v>
      </c>
      <c r="G27" s="5"/>
    </row>
    <row r="28" customFormat="false" ht="15" hidden="false" customHeight="false" outlineLevel="0" collapsed="false">
      <c r="A28" s="17" t="s">
        <v>39</v>
      </c>
      <c r="B28" s="5"/>
      <c r="C28" s="18" t="n">
        <f aca="false">SUM(C17:C26)</f>
        <v>28711373</v>
      </c>
      <c r="D28" s="5"/>
      <c r="E28" s="18" t="n">
        <f aca="false">SUM(E17:E26)</f>
        <v>36805105</v>
      </c>
      <c r="F28" s="16" t="n">
        <f aca="false">C28/E28</f>
        <v>0.780092136675062</v>
      </c>
      <c r="G28" s="5"/>
    </row>
    <row r="30" customFormat="false" ht="15" hidden="false" customHeight="false" outlineLevel="0" collapsed="false">
      <c r="A30" s="3" t="s">
        <v>40</v>
      </c>
    </row>
    <row r="31" customFormat="false" ht="15" hidden="false" customHeight="false" outlineLevel="0" collapsed="false">
      <c r="A31" s="4" t="s">
        <v>3</v>
      </c>
      <c r="B31" s="4" t="s">
        <v>5</v>
      </c>
      <c r="C31" s="4" t="s">
        <v>41</v>
      </c>
      <c r="D31" s="4" t="s">
        <v>42</v>
      </c>
    </row>
    <row r="32" customFormat="false" ht="15" hidden="false" customHeight="false" outlineLevel="0" collapsed="false">
      <c r="A32" s="5" t="s">
        <v>43</v>
      </c>
      <c r="B32" s="6" t="n">
        <v>16008</v>
      </c>
      <c r="C32" s="6" t="n">
        <v>18556</v>
      </c>
      <c r="D32" s="7" t="n">
        <f aca="false">B32/C32</f>
        <v>0.862685923690451</v>
      </c>
    </row>
    <row r="33" customFormat="false" ht="15" hidden="false" customHeight="false" outlineLevel="0" collapsed="false">
      <c r="A33" s="5" t="s">
        <v>44</v>
      </c>
      <c r="B33" s="6" t="n">
        <v>1776</v>
      </c>
      <c r="C33" s="6" t="n">
        <v>1974</v>
      </c>
      <c r="D33" s="7" t="n">
        <f aca="false">B33/C33</f>
        <v>0.899696048632219</v>
      </c>
    </row>
    <row r="34" customFormat="false" ht="15" hidden="false" customHeight="false" outlineLevel="0" collapsed="false">
      <c r="A34" s="5" t="s">
        <v>45</v>
      </c>
      <c r="B34" s="6" t="n">
        <v>74639</v>
      </c>
      <c r="C34" s="6" t="n">
        <v>77738</v>
      </c>
      <c r="D34" s="7" t="n">
        <f aca="false">B34/C34</f>
        <v>0.96013532635262</v>
      </c>
    </row>
    <row r="35" customFormat="false" ht="15" hidden="false" customHeight="false" outlineLevel="0" collapsed="false">
      <c r="A35" s="5" t="s">
        <v>46</v>
      </c>
      <c r="B35" s="19" t="n">
        <f aca="false">B17/B32</f>
        <v>0.213205897051474</v>
      </c>
      <c r="C35" s="19" t="n">
        <f aca="false">D17/C32</f>
        <v>0.237928432851908</v>
      </c>
      <c r="D35" s="7" t="n">
        <f aca="false">B35/C35</f>
        <v>0.896092553949526</v>
      </c>
    </row>
    <row r="36" customFormat="false" ht="15" hidden="false" customHeight="false" outlineLevel="0" collapsed="false">
      <c r="A36" s="5" t="s">
        <v>47</v>
      </c>
      <c r="B36" s="20" t="n">
        <f aca="false">C17/B17</f>
        <v>604.889246996777</v>
      </c>
      <c r="C36" s="20" t="n">
        <f aca="false">E17/D17</f>
        <v>620.555605889015</v>
      </c>
      <c r="D36" s="7" t="n">
        <f aca="false">B36/C36</f>
        <v>0.97475430284802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6" min="5" style="0" width="15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21" t="s">
        <v>48</v>
      </c>
    </row>
    <row r="2" customFormat="false" ht="15" hidden="false" customHeight="false" outlineLevel="0" collapsed="false">
      <c r="A2" s="2" t="s">
        <v>49</v>
      </c>
    </row>
    <row r="4" customFormat="false" ht="29.1" hidden="false" customHeight="false" outlineLevel="0" collapsed="false">
      <c r="A4" s="4" t="s">
        <v>21</v>
      </c>
      <c r="B4" s="22" t="s">
        <v>50</v>
      </c>
      <c r="C4" s="4" t="s">
        <v>51</v>
      </c>
      <c r="D4" s="4" t="s">
        <v>52</v>
      </c>
      <c r="E4" s="4" t="s">
        <v>53</v>
      </c>
      <c r="F4" s="4" t="s">
        <v>54</v>
      </c>
      <c r="G4" s="4" t="s">
        <v>55</v>
      </c>
    </row>
    <row r="5" customFormat="false" ht="15" hidden="false" customHeight="false" outlineLevel="0" collapsed="false">
      <c r="A5" s="17" t="s">
        <v>28</v>
      </c>
      <c r="B5" s="20" t="n">
        <f aca="false">SUMIF(品目別値上げ効果!$C$5:$C$216,"アルコール",品目別値上げ効果!$E$5:$E$216)</f>
        <v>1897327</v>
      </c>
      <c r="C5" s="8" t="n">
        <f aca="false">SUMIF(品目別値上げ効果!$C$5:$C$216,"アルコール",品目別値上げ効果!$I$5:$I$216)</f>
        <v>47951</v>
      </c>
      <c r="D5" s="23" t="n">
        <f aca="false">IFERROR(C5/SUMIF(品目別値上げ効果!$C$5:$C$216,"アルコール",品目別値上げ効果!$J$5:$J$216),0)</f>
        <v>0.0245834738928439</v>
      </c>
      <c r="E5" s="7" t="n">
        <f aca="false">IFERROR(SUMIF(品目別値上げ効果!$C$5:$C$216,"アルコール",品目別値上げ効果!$L$5:$L$216)/SUMIF(品目別値上げ効果!$C$5:$C$216,"アルコール",品目別値上げ効果!$M$5:$M$216),"-")</f>
        <v>0.330676446172801</v>
      </c>
      <c r="F5" s="7" t="n">
        <f aca="false">IFERROR(SUMIF(品目別値上げ効果!$C$5:$C$216,"アルコール",品目別値上げ効果!$L$5:$L$216)/(SUMIF(品目別値上げ効果!$C$5:$C$216,"アルコール",品目別値上げ効果!$M$5:$M$216)+SUMIF(品目別値上げ効果!$C$5:$C$216,"アルコール",品目別値上げ効果!$N$5:$N$216)),"-")</f>
        <v>0.321351748388007</v>
      </c>
      <c r="G5" s="8" t="n">
        <f aca="false">C5*4</f>
        <v>191804</v>
      </c>
    </row>
    <row r="6" customFormat="false" ht="15" hidden="false" customHeight="false" outlineLevel="0" collapsed="false">
      <c r="A6" s="17" t="s">
        <v>29</v>
      </c>
      <c r="B6" s="20" t="n">
        <f aca="false">SUMIF(品目別値上げ効果!$C$5:$C$216,"ソフトドリンク",品目別値上げ効果!$E$5:$E$216)</f>
        <v>1388847</v>
      </c>
      <c r="C6" s="8" t="n">
        <f aca="false">SUMIF(品目別値上げ効果!$C$5:$C$216,"ソフトドリンク",品目別値上げ効果!$I$5:$I$216)</f>
        <v>42606</v>
      </c>
      <c r="D6" s="23" t="n">
        <f aca="false">IFERROR(C6/SUMIF(品目別値上げ効果!$C$5:$C$216,"ソフトドリンク",品目別値上げ効果!$J$5:$J$216),0)</f>
        <v>0.0285169270310429</v>
      </c>
      <c r="E6" s="7" t="n">
        <f aca="false">IFERROR(SUMIF(品目別値上げ効果!$C$5:$C$216,"ソフトドリンク",品目別値上げ効果!$L$5:$L$216)/SUMIF(品目別値上げ効果!$C$5:$C$216,"ソフトドリンク",品目別値上げ効果!$M$5:$M$216),"-")</f>
        <v>0.21774765428454</v>
      </c>
      <c r="F6" s="7" t="n">
        <f aca="false">IFERROR(SUMIF(品目別値上げ効果!$C$5:$C$216,"ソフトドリンク",品目別値上げ効果!$L$5:$L$216)/(SUMIF(品目別値上げ効果!$C$5:$C$216,"ソフトドリンク",品目別値上げ効果!$M$5:$M$216)+SUMIF(品目別値上げ効果!$C$5:$C$216,"ソフトドリンク",品目別値上げ効果!$N$5:$N$216)),"-")</f>
        <v>0.211710326356124</v>
      </c>
      <c r="G6" s="8" t="n">
        <f aca="false">C6*4</f>
        <v>170424</v>
      </c>
    </row>
    <row r="7" customFormat="false" ht="15" hidden="false" customHeight="false" outlineLevel="0" collapsed="false">
      <c r="A7" s="17" t="s">
        <v>30</v>
      </c>
      <c r="B7" s="20" t="n">
        <f aca="false">SUMIF(品目別値上げ効果!$C$5:$C$216,"麺類",品目別値上げ効果!$E$5:$E$216)</f>
        <v>1743018</v>
      </c>
      <c r="C7" s="8" t="n">
        <f aca="false">SUMIF(品目別値上げ効果!$C$5:$C$216,"麺類",品目別値上げ効果!$I$5:$I$216)</f>
        <v>72112</v>
      </c>
      <c r="D7" s="23" t="n">
        <f aca="false">IFERROR(C7/SUMIF(品目別値上げ効果!$C$5:$C$216,"麺類",品目別値上げ効果!$J$5:$J$216),0)</f>
        <v>0.0412436228866876</v>
      </c>
      <c r="E7" s="7" t="n">
        <f aca="false">IFERROR(SUMIF(品目別値上げ効果!$C$5:$C$216,"麺類",品目別値上げ効果!$L$5:$L$216)/SUMIF(品目別値上げ効果!$C$5:$C$216,"麺類",品目別値上げ効果!$M$5:$M$216),"-")</f>
        <v>0.296771922399396</v>
      </c>
      <c r="F7" s="7" t="n">
        <f aca="false">IFERROR(SUMIF(品目別値上げ効果!$C$5:$C$216,"麺類",品目別値上げ効果!$L$5:$L$216)/(SUMIF(品目別値上げ効果!$C$5:$C$216,"麺類",品目別値上げ効果!$M$5:$M$216)+SUMIF(品目別値上げ効果!$C$5:$C$216,"麺類",品目別値上げ効果!$N$5:$N$216)),"-")</f>
        <v>0.285016797103296</v>
      </c>
      <c r="G7" s="8" t="n">
        <f aca="false">C7*4</f>
        <v>288448</v>
      </c>
    </row>
    <row r="8" customFormat="false" ht="15" hidden="false" customHeight="false" outlineLevel="0" collapsed="false">
      <c r="A8" s="17" t="s">
        <v>31</v>
      </c>
      <c r="B8" s="20" t="n">
        <f aca="false">SUMIF(品目別値上げ効果!$C$5:$C$216,"ご飯類",品目別値上げ効果!$E$5:$E$216)</f>
        <v>3402183</v>
      </c>
      <c r="C8" s="8" t="n">
        <f aca="false">SUMIF(品目別値上げ効果!$C$5:$C$216,"ご飯類",品目別値上げ効果!$I$5:$I$216)</f>
        <v>97686</v>
      </c>
      <c r="D8" s="23" t="n">
        <f aca="false">IFERROR(C8/SUMIF(品目別値上げ効果!$C$5:$C$216,"ご飯類",品目別値上げ効果!$J$5:$J$216),0)</f>
        <v>0.0285477988450658</v>
      </c>
      <c r="E8" s="7" t="n">
        <f aca="false">IFERROR(SUMIF(品目別値上げ効果!$C$5:$C$216,"ご飯類",品目別値上げ効果!$L$5:$L$216)/SUMIF(品目別値上げ効果!$C$5:$C$216,"ご飯類",品目別値上げ効果!$M$5:$M$216),"-")</f>
        <v>0.34141045753162</v>
      </c>
      <c r="F8" s="7" t="n">
        <f aca="false">IFERROR(SUMIF(品目別値上げ効果!$C$5:$C$216,"ご飯類",品目別値上げ効果!$L$5:$L$216)/(SUMIF(品目別値上げ効果!$C$5:$C$216,"ご飯類",品目別値上げ効果!$M$5:$M$216)+SUMIF(品目別値上げ効果!$C$5:$C$216,"ご飯類",品目別値上げ効果!$N$5:$N$216)),"-")</f>
        <v>0.331934459356175</v>
      </c>
      <c r="G8" s="8" t="n">
        <f aca="false">C8*4</f>
        <v>390744</v>
      </c>
    </row>
    <row r="9" customFormat="false" ht="15" hidden="false" customHeight="false" outlineLevel="0" collapsed="false">
      <c r="A9" s="17" t="s">
        <v>32</v>
      </c>
      <c r="B9" s="20" t="n">
        <f aca="false">SUMIF(品目別値上げ効果!$C$5:$C$216,"一品料理",品目別値上げ効果!$E$5:$E$216)</f>
        <v>2198332</v>
      </c>
      <c r="C9" s="8" t="n">
        <f aca="false">SUMIF(品目別値上げ効果!$C$5:$C$216,"一品料理",品目別値上げ効果!$I$5:$I$216)</f>
        <v>96471</v>
      </c>
      <c r="D9" s="23" t="n">
        <f aca="false">IFERROR(C9/SUMIF(品目別値上げ効果!$C$5:$C$216,"一品料理",品目別値上げ効果!$J$5:$J$216),0)</f>
        <v>0.0438995422153863</v>
      </c>
      <c r="E9" s="7" t="n">
        <f aca="false">IFERROR(SUMIF(品目別値上げ効果!$C$5:$C$216,"一品料理",品目別値上げ効果!$L$5:$L$216)/SUMIF(品目別値上げ効果!$C$5:$C$216,"一品料理",品目別値上げ効果!$M$5:$M$216),"-")</f>
        <v>0.336320173916221</v>
      </c>
      <c r="F9" s="7" t="n">
        <f aca="false">IFERROR(SUMIF(品目別値上げ効果!$C$5:$C$216,"一品料理",品目別値上げ効果!$L$5:$L$216)/(SUMIF(品目別値上げ効果!$C$5:$C$216,"一品料理",品目別値上げ効果!$M$5:$M$216)+SUMIF(品目別値上げ効果!$C$5:$C$216,"一品料理",品目別値上げ効果!$N$5:$N$216)),"-")</f>
        <v>0.322207306700084</v>
      </c>
      <c r="G9" s="8" t="n">
        <f aca="false">C9*4</f>
        <v>385884</v>
      </c>
    </row>
    <row r="10" customFormat="false" ht="15" hidden="false" customHeight="false" outlineLevel="0" collapsed="false">
      <c r="A10" s="17" t="s">
        <v>33</v>
      </c>
      <c r="B10" s="20" t="n">
        <f aca="false">SUMIF(品目別値上げ効果!$C$5:$C$216,"デザート類",品目別値上げ効果!$E$5:$E$216)</f>
        <v>587332</v>
      </c>
      <c r="C10" s="8" t="n">
        <f aca="false">SUMIF(品目別値上げ効果!$C$5:$C$216,"デザート類",品目別値上げ効果!$I$5:$I$216)</f>
        <v>31293</v>
      </c>
      <c r="D10" s="23" t="n">
        <f aca="false">IFERROR(C10/SUMIF(品目別値上げ効果!$C$5:$C$216,"デザート類",品目別値上げ効果!$J$5:$J$216),0)</f>
        <v>0.0532800980709312</v>
      </c>
      <c r="E10" s="7" t="n">
        <f aca="false">IFERROR(SUMIF(品目別値上げ効果!$C$5:$C$216,"デザート類",品目別値上げ効果!$L$5:$L$216)/SUMIF(品目別値上げ効果!$C$5:$C$216,"デザート類",品目別値上げ効果!$M$5:$M$216),"-")</f>
        <v>0.23636218139717</v>
      </c>
      <c r="F10" s="7" t="n">
        <f aca="false">IFERROR(SUMIF(品目別値上げ効果!$C$5:$C$216,"デザート類",品目別値上げ効果!$L$5:$L$216)/(SUMIF(品目別値上げ効果!$C$5:$C$216,"デザート類",品目別値上げ効果!$M$5:$M$216)+SUMIF(品目別値上げ効果!$C$5:$C$216,"デザート類",品目別値上げ効果!$N$5:$N$216)),"-")</f>
        <v>0.224405817436468</v>
      </c>
      <c r="G10" s="8" t="n">
        <f aca="false">C10*4</f>
        <v>125172</v>
      </c>
    </row>
    <row r="11" customFormat="false" ht="15" hidden="false" customHeight="false" outlineLevel="0" collapsed="false">
      <c r="A11" s="17" t="s">
        <v>56</v>
      </c>
      <c r="B11" s="20" t="n">
        <f aca="false">SUMIF(品目別値上げ効果!$C$5:$C$216,"対象外",品目別値上げ効果!$E$5:$E$216)</f>
        <v>2885403</v>
      </c>
      <c r="C11" s="8" t="n">
        <f aca="false">SUMIF(品目別値上げ効果!$C$5:$C$216,"対象外",品目別値上げ効果!$I$5:$I$216)</f>
        <v>0</v>
      </c>
      <c r="D11" s="23" t="n">
        <f aca="false">IFERROR(C11/SUMIF(品目別値上げ効果!$C$5:$C$216,"対象外",品目別値上げ効果!$J$5:$J$216),0)</f>
        <v>0</v>
      </c>
      <c r="E11" s="7" t="str">
        <f aca="false">IFERROR(SUMIF(品目別値上げ効果!$C$5:$C$216,"対象外",品目別値上げ効果!$L$5:$L$216)/SUMIF(品目別値上げ効果!$C$5:$C$216,"対象外",品目別値上げ効果!$M$5:$M$216),"-")</f>
        <v>-</v>
      </c>
      <c r="F11" s="7" t="str">
        <f aca="false">IFERROR(SUMIF(品目別値上げ効果!$C$5:$C$216,"対象外",品目別値上げ効果!$L$5:$L$216)/(SUMIF(品目別値上げ効果!$C$5:$C$216,"対象外",品目別値上げ効果!$M$5:$M$216)+SUMIF(品目別値上げ効果!$C$5:$C$216,"対象外",品目別値上げ効果!$N$5:$N$216)),"-")</f>
        <v>-</v>
      </c>
      <c r="G11" s="8" t="n">
        <f aca="false">C11*4</f>
        <v>0</v>
      </c>
    </row>
    <row r="12" customFormat="false" ht="15" hidden="false" customHeight="false" outlineLevel="0" collapsed="false">
      <c r="A12" s="9" t="s">
        <v>57</v>
      </c>
      <c r="B12" s="24" t="n">
        <f aca="false">現状と課題!C27</f>
        <v>14102442</v>
      </c>
      <c r="C12" s="25" t="n">
        <f aca="false">SUM(C5:C11)</f>
        <v>388119</v>
      </c>
      <c r="D12" s="26" t="n">
        <f aca="false">C12/B12</f>
        <v>0.0275214037398629</v>
      </c>
      <c r="E12" s="10" t="n">
        <f aca="false">SUM(品目別値上げ効果!$L$5:$L$216)/SUM(品目別値上げ効果!$M$5:$M$216)</f>
        <v>0.309555642387848</v>
      </c>
      <c r="F12" s="10" t="n">
        <f aca="false">SUM(品目別値上げ効果!$L$5:$L$216)/(SUM(品目別値上げ効果!$M$5:$M$216)+SUM(品目別値上げ効果!$N$5:$N$216))</f>
        <v>0.299106563206093</v>
      </c>
      <c r="G12" s="25" t="n">
        <f aca="false">C12*4</f>
        <v>1552476</v>
      </c>
    </row>
    <row r="13" customFormat="false" ht="15" hidden="false" customHeight="false" outlineLevel="0" collapsed="false">
      <c r="A13" s="27" t="s">
        <v>58</v>
      </c>
    </row>
    <row r="15" customFormat="false" ht="15" hidden="false" customHeight="false" outlineLevel="0" collapsed="false">
      <c r="A15" s="3" t="s">
        <v>59</v>
      </c>
    </row>
    <row r="16" customFormat="false" ht="28.35" hidden="false" customHeight="false" outlineLevel="0" collapsed="false">
      <c r="A16" s="4" t="s">
        <v>60</v>
      </c>
      <c r="B16" s="22" t="s">
        <v>61</v>
      </c>
      <c r="C16" s="4" t="s">
        <v>62</v>
      </c>
      <c r="D16" s="4" t="s">
        <v>63</v>
      </c>
      <c r="E16" s="4" t="s">
        <v>64</v>
      </c>
      <c r="F16" s="22" t="s">
        <v>65</v>
      </c>
      <c r="G16" s="4" t="s">
        <v>66</v>
      </c>
    </row>
    <row r="17" customFormat="false" ht="15" hidden="false" customHeight="false" outlineLevel="0" collapsed="false">
      <c r="A17" s="5" t="s">
        <v>67</v>
      </c>
      <c r="B17" s="6" t="n">
        <v>964</v>
      </c>
      <c r="C17" s="6" t="n">
        <v>1232</v>
      </c>
      <c r="D17" s="6" t="n">
        <v>45</v>
      </c>
      <c r="E17" s="20" t="n">
        <f aca="false">ROUND((C17+D17)*1.1,0)</f>
        <v>1405</v>
      </c>
      <c r="F17" s="8" t="n">
        <f aca="false">B17*D17</f>
        <v>43380</v>
      </c>
      <c r="G17" s="8" t="n">
        <f aca="false">F17*4</f>
        <v>173520</v>
      </c>
    </row>
    <row r="18" customFormat="false" ht="15" hidden="false" customHeight="false" outlineLevel="0" collapsed="false">
      <c r="A18" s="5" t="s">
        <v>68</v>
      </c>
      <c r="B18" s="6" t="n">
        <v>2134</v>
      </c>
      <c r="C18" s="6" t="n">
        <v>430</v>
      </c>
      <c r="D18" s="6" t="n">
        <v>18</v>
      </c>
      <c r="E18" s="20" t="n">
        <f aca="false">ROUND((C18+D18)*1.1,0)</f>
        <v>493</v>
      </c>
      <c r="F18" s="8" t="n">
        <f aca="false">B18*D18</f>
        <v>38412</v>
      </c>
      <c r="G18" s="8" t="n">
        <f aca="false">F18*4</f>
        <v>153648</v>
      </c>
    </row>
    <row r="19" customFormat="false" ht="15" hidden="false" customHeight="false" outlineLevel="0" collapsed="false">
      <c r="A19" s="5" t="s">
        <v>69</v>
      </c>
      <c r="B19" s="6" t="n">
        <v>605</v>
      </c>
      <c r="C19" s="6" t="n">
        <v>454</v>
      </c>
      <c r="D19" s="6" t="n">
        <v>0</v>
      </c>
      <c r="E19" s="20" t="n">
        <f aca="false">ROUND((C19+D19)*1.1,0)</f>
        <v>499</v>
      </c>
      <c r="F19" s="8" t="n">
        <f aca="false">B19*D19</f>
        <v>0</v>
      </c>
      <c r="G19" s="8" t="n">
        <f aca="false">F19*4</f>
        <v>0</v>
      </c>
    </row>
    <row r="20" customFormat="false" ht="15" hidden="false" customHeight="false" outlineLevel="0" collapsed="false">
      <c r="A20" s="15" t="s">
        <v>70</v>
      </c>
      <c r="B20" s="6" t="n">
        <v>84</v>
      </c>
      <c r="C20" s="6" t="n">
        <v>1006</v>
      </c>
      <c r="D20" s="6" t="n">
        <v>0</v>
      </c>
      <c r="E20" s="20" t="n">
        <f aca="false">ROUND((C20+D20)*1.1,0)</f>
        <v>1107</v>
      </c>
      <c r="F20" s="8" t="n">
        <f aca="false">B20*D20</f>
        <v>0</v>
      </c>
      <c r="G20" s="8" t="n">
        <f aca="false">F20*4</f>
        <v>0</v>
      </c>
    </row>
    <row r="21" customFormat="false" ht="15" hidden="false" customHeight="false" outlineLevel="0" collapsed="false">
      <c r="A21" s="9" t="s">
        <v>71</v>
      </c>
      <c r="B21" s="13"/>
      <c r="C21" s="13"/>
      <c r="D21" s="13"/>
      <c r="E21" s="13"/>
      <c r="F21" s="25" t="n">
        <f aca="false">SUM(F17:F20)</f>
        <v>81792</v>
      </c>
      <c r="G21" s="25" t="n">
        <f aca="false">SUM(G17:G20)</f>
        <v>327168</v>
      </c>
    </row>
    <row r="22" customFormat="false" ht="15" hidden="false" customHeight="false" outlineLevel="0" collapsed="false">
      <c r="A22" s="27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2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3" t="s">
        <v>75</v>
      </c>
    </row>
    <row r="5" customFormat="false" ht="15" hidden="false" customHeight="false" outlineLevel="0" collapsed="false">
      <c r="A5" s="5" t="s">
        <v>76</v>
      </c>
      <c r="B5" s="28" t="n">
        <f aca="false">現状と課題!C8</f>
        <v>29206.2</v>
      </c>
      <c r="C5" s="27" t="s">
        <v>77</v>
      </c>
    </row>
    <row r="6" customFormat="false" ht="15" hidden="false" customHeight="false" outlineLevel="0" collapsed="false">
      <c r="A6" s="5" t="s">
        <v>78</v>
      </c>
      <c r="B6" s="29" t="n">
        <f aca="false">B5*2</f>
        <v>58412.4</v>
      </c>
      <c r="C6" s="27" t="s">
        <v>79</v>
      </c>
    </row>
    <row r="7" customFormat="false" ht="15" hidden="false" customHeight="false" outlineLevel="0" collapsed="false">
      <c r="A7" s="5" t="s">
        <v>80</v>
      </c>
      <c r="B7" s="30" t="n">
        <v>0</v>
      </c>
      <c r="C7" s="27" t="s">
        <v>81</v>
      </c>
    </row>
    <row r="8" customFormat="false" ht="15" hidden="false" customHeight="false" outlineLevel="0" collapsed="false">
      <c r="A8" s="5" t="s">
        <v>82</v>
      </c>
      <c r="B8" s="23" t="n">
        <f aca="false">(分類別値上げ率!C12+B7*分類別値上げ率!F21)/分類別値上げ率!B12</f>
        <v>0.0275214037398629</v>
      </c>
      <c r="C8" s="27" t="s">
        <v>83</v>
      </c>
    </row>
    <row r="9" customFormat="false" ht="15" hidden="false" customHeight="false" outlineLevel="0" collapsed="false">
      <c r="A9" s="5" t="s">
        <v>84</v>
      </c>
      <c r="B9" s="31" t="n">
        <f aca="false">現状と課題!C11</f>
        <v>0.364223910424182</v>
      </c>
      <c r="C9" s="32" t="s">
        <v>85</v>
      </c>
    </row>
    <row r="11" customFormat="false" ht="15" hidden="false" customHeight="false" outlineLevel="0" collapsed="false">
      <c r="A11" s="9" t="s">
        <v>86</v>
      </c>
      <c r="B11" s="11" t="n">
        <f aca="false">1-(1-B9)/(1+B8-B9)</f>
        <v>0.041491795185731</v>
      </c>
      <c r="C11" s="27" t="s">
        <v>87</v>
      </c>
    </row>
    <row r="12" customFormat="false" ht="15" hidden="false" customHeight="false" outlineLevel="0" collapsed="false">
      <c r="A12" s="5" t="s">
        <v>88</v>
      </c>
      <c r="B12" s="7" t="n">
        <f aca="false">B8/(1+B8)</f>
        <v>0.0267842632179665</v>
      </c>
    </row>
    <row r="14" customFormat="false" ht="15" hidden="false" customHeight="false" outlineLevel="0" collapsed="false">
      <c r="A14" s="3" t="s">
        <v>89</v>
      </c>
    </row>
    <row r="15" customFormat="false" ht="29.1" hidden="false" customHeight="false" outlineLevel="0" collapsed="false">
      <c r="A15" s="4" t="s">
        <v>90</v>
      </c>
      <c r="B15" s="4" t="s">
        <v>91</v>
      </c>
      <c r="C15" s="4" t="s">
        <v>92</v>
      </c>
      <c r="D15" s="4" t="s">
        <v>93</v>
      </c>
      <c r="E15" s="4" t="s">
        <v>94</v>
      </c>
      <c r="F15" s="4" t="s">
        <v>95</v>
      </c>
      <c r="G15" s="4" t="s">
        <v>96</v>
      </c>
      <c r="H15" s="4" t="s">
        <v>97</v>
      </c>
    </row>
    <row r="16" customFormat="false" ht="15" hidden="false" customHeight="false" outlineLevel="0" collapsed="false">
      <c r="A16" s="17" t="s">
        <v>98</v>
      </c>
      <c r="B16" s="23" t="n">
        <v>0</v>
      </c>
      <c r="C16" s="20" t="n">
        <f aca="false">B6</f>
        <v>58412.4</v>
      </c>
      <c r="D16" s="5"/>
      <c r="E16" s="20" t="n">
        <f aca="false">B6*(1-B9)</f>
        <v>37137.2072547385</v>
      </c>
      <c r="F16" s="5"/>
      <c r="G16" s="5"/>
      <c r="H16" s="5"/>
    </row>
    <row r="17" customFormat="false" ht="15" hidden="false" customHeight="false" outlineLevel="0" collapsed="false">
      <c r="A17" s="5" t="s">
        <v>99</v>
      </c>
      <c r="B17" s="33" t="n">
        <v>0</v>
      </c>
      <c r="C17" s="20" t="n">
        <f aca="false">$B$6*(1+$B$8)*(1+B17)</f>
        <v>60019.9912438144</v>
      </c>
      <c r="D17" s="34" t="n">
        <f aca="false">C17-$C$16</f>
        <v>1607.59124381437</v>
      </c>
      <c r="E17" s="20" t="n">
        <f aca="false">$B$6*(1+B17)*(1+$B$8-$B$9)</f>
        <v>38744.7984985529</v>
      </c>
      <c r="F17" s="34" t="n">
        <f aca="false">E17-$E$16</f>
        <v>1607.59124381438</v>
      </c>
      <c r="G17" s="8" t="n">
        <f aca="false">D17/2</f>
        <v>803.795621907186</v>
      </c>
      <c r="H17" s="8" t="n">
        <f aca="false">F17/2</f>
        <v>803.795621907189</v>
      </c>
    </row>
    <row r="18" customFormat="false" ht="15" hidden="false" customHeight="false" outlineLevel="0" collapsed="false">
      <c r="A18" s="5" t="s">
        <v>100</v>
      </c>
      <c r="B18" s="33" t="n">
        <v>-0.01</v>
      </c>
      <c r="C18" s="20" t="n">
        <f aca="false">$B$6*(1+$B$8)*(1+B18)</f>
        <v>59419.7913313762</v>
      </c>
      <c r="D18" s="34" t="n">
        <f aca="false">C18-$C$16</f>
        <v>1007.39133137622</v>
      </c>
      <c r="E18" s="20" t="n">
        <f aca="false">$B$6*(1+B18)*(1+$B$8-$B$9)</f>
        <v>38357.3505135674</v>
      </c>
      <c r="F18" s="34" t="n">
        <f aca="false">E18-$E$16</f>
        <v>1220.14325882884</v>
      </c>
      <c r="G18" s="8" t="n">
        <f aca="false">D18/2</f>
        <v>503.695665688112</v>
      </c>
      <c r="H18" s="8" t="n">
        <f aca="false">F18/2</f>
        <v>610.071629414422</v>
      </c>
    </row>
    <row r="19" customFormat="false" ht="15" hidden="false" customHeight="false" outlineLevel="0" collapsed="false">
      <c r="A19" s="9" t="s">
        <v>101</v>
      </c>
      <c r="B19" s="33" t="n">
        <v>-0.02</v>
      </c>
      <c r="C19" s="35" t="n">
        <f aca="false">$B$6*(1+$B$8)*(1+B19)</f>
        <v>58819.5914189381</v>
      </c>
      <c r="D19" s="25" t="n">
        <f aca="false">C19-$C$16</f>
        <v>407.191418938084</v>
      </c>
      <c r="E19" s="35" t="n">
        <f aca="false">$B$6*(1+B19)*(1+$B$8-$B$9)</f>
        <v>37969.9025285818</v>
      </c>
      <c r="F19" s="25" t="n">
        <f aca="false">E19-$E$16</f>
        <v>832.695273843317</v>
      </c>
      <c r="G19" s="36" t="n">
        <f aca="false">D19/2</f>
        <v>203.595709469042</v>
      </c>
      <c r="H19" s="36" t="n">
        <f aca="false">F19/2</f>
        <v>416.347636921659</v>
      </c>
    </row>
    <row r="20" customFormat="false" ht="15" hidden="false" customHeight="false" outlineLevel="0" collapsed="false">
      <c r="A20" s="5" t="s">
        <v>102</v>
      </c>
      <c r="B20" s="33" t="n">
        <v>-0.03</v>
      </c>
      <c r="C20" s="20" t="n">
        <f aca="false">$B$6*(1+$B$8)*(1+B20)</f>
        <v>58219.3915064999</v>
      </c>
      <c r="D20" s="34" t="n">
        <f aca="false">C20-$C$16</f>
        <v>-193.008493500063</v>
      </c>
      <c r="E20" s="20" t="n">
        <f aca="false">$B$6*(1+B20)*(1+$B$8-$B$9)</f>
        <v>37582.4545435963</v>
      </c>
      <c r="F20" s="34" t="n">
        <f aca="false">E20-$E$16</f>
        <v>445.247288857783</v>
      </c>
      <c r="G20" s="8" t="n">
        <f aca="false">D20/2</f>
        <v>-96.5042467500316</v>
      </c>
      <c r="H20" s="8" t="n">
        <f aca="false">F20/2</f>
        <v>222.623644428892</v>
      </c>
    </row>
    <row r="22" customFormat="false" ht="15" hidden="false" customHeight="false" outlineLevel="0" collapsed="false">
      <c r="A22" s="5" t="s">
        <v>103</v>
      </c>
      <c r="B22" s="16" t="n">
        <f aca="false">B9/(1+B8)</f>
        <v>0.354468441337104</v>
      </c>
      <c r="C22" s="27" t="s">
        <v>104</v>
      </c>
    </row>
    <row r="24" customFormat="false" ht="15" hidden="false" customHeight="false" outlineLevel="0" collapsed="false">
      <c r="A24" s="27" t="s">
        <v>105</v>
      </c>
    </row>
    <row r="25" customFormat="false" ht="15" hidden="false" customHeight="false" outlineLevel="0" collapsed="false">
      <c r="A25" s="27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4" min="13" style="0" width="13"/>
  </cols>
  <sheetData>
    <row r="1" customFormat="false" ht="19.4" hidden="false" customHeight="false" outlineLevel="0" collapsed="false">
      <c r="A1" s="21" t="s">
        <v>107</v>
      </c>
    </row>
    <row r="2" customFormat="false" ht="15" hidden="false" customHeight="false" outlineLevel="0" collapsed="false">
      <c r="A2" s="2" t="s">
        <v>108</v>
      </c>
    </row>
    <row r="4" customFormat="false" ht="41.75" hidden="false" customHeight="false" outlineLevel="0" collapsed="false">
      <c r="A4" s="22" t="s">
        <v>109</v>
      </c>
      <c r="B4" s="4" t="s">
        <v>110</v>
      </c>
      <c r="C4" s="4" t="s">
        <v>21</v>
      </c>
      <c r="D4" s="4" t="s">
        <v>22</v>
      </c>
      <c r="E4" s="4" t="s">
        <v>111</v>
      </c>
      <c r="F4" s="4" t="s">
        <v>112</v>
      </c>
      <c r="G4" s="4" t="s">
        <v>113</v>
      </c>
      <c r="H4" s="4" t="s">
        <v>114</v>
      </c>
      <c r="I4" s="4" t="s">
        <v>115</v>
      </c>
      <c r="J4" s="4" t="s">
        <v>116</v>
      </c>
      <c r="K4" s="4" t="s">
        <v>117</v>
      </c>
      <c r="L4" s="4" t="s">
        <v>118</v>
      </c>
      <c r="M4" s="4" t="s">
        <v>119</v>
      </c>
      <c r="N4" s="4" t="s">
        <v>120</v>
      </c>
    </row>
    <row r="5" customFormat="false" ht="15" hidden="false" customHeight="false" outlineLevel="0" collapsed="false">
      <c r="A5" s="15" t="s">
        <v>121</v>
      </c>
      <c r="B5" s="5" t="s">
        <v>122</v>
      </c>
      <c r="C5" s="5" t="s">
        <v>28</v>
      </c>
      <c r="D5" s="6" t="n">
        <v>416</v>
      </c>
      <c r="E5" s="6" t="n">
        <v>323271</v>
      </c>
      <c r="F5" s="6" t="n">
        <v>777</v>
      </c>
      <c r="G5" s="6" t="n">
        <v>777</v>
      </c>
      <c r="H5" s="8" t="n">
        <f aca="false">G5-F5</f>
        <v>0</v>
      </c>
      <c r="I5" s="8" t="n">
        <f aca="false">D5*H5</f>
        <v>0</v>
      </c>
      <c r="J5" s="20" t="n">
        <f aca="false">D5*F5</f>
        <v>323232</v>
      </c>
      <c r="K5" s="37" t="n">
        <v>284.4</v>
      </c>
      <c r="L5" s="20" t="n">
        <f aca="false">D5*K5</f>
        <v>118310.4</v>
      </c>
      <c r="M5" s="20" t="n">
        <f aca="false">IF(K5&gt;0,J5,0)</f>
        <v>323232</v>
      </c>
      <c r="N5" s="20" t="n">
        <f aca="false">IF(K5&gt;0,I5,0)</f>
        <v>0</v>
      </c>
    </row>
    <row r="6" customFormat="false" ht="15" hidden="false" customHeight="false" outlineLevel="0" collapsed="false">
      <c r="A6" s="15" t="s">
        <v>123</v>
      </c>
      <c r="B6" s="15" t="s">
        <v>124</v>
      </c>
      <c r="C6" s="5" t="s">
        <v>28</v>
      </c>
      <c r="D6" s="6" t="n">
        <v>279</v>
      </c>
      <c r="E6" s="6" t="n">
        <v>279672</v>
      </c>
      <c r="F6" s="6" t="n">
        <v>1010</v>
      </c>
      <c r="G6" s="6" t="n">
        <v>1010</v>
      </c>
      <c r="H6" s="8" t="n">
        <f aca="false">G6-F6</f>
        <v>0</v>
      </c>
      <c r="I6" s="8" t="n">
        <f aca="false">D6*H6</f>
        <v>0</v>
      </c>
      <c r="J6" s="20" t="n">
        <f aca="false">D6*F6</f>
        <v>281790</v>
      </c>
      <c r="K6" s="37"/>
      <c r="L6" s="20" t="n">
        <f aca="false">D6*K6</f>
        <v>0</v>
      </c>
      <c r="M6" s="20" t="n">
        <f aca="false">IF(K6&gt;0,J6,0)</f>
        <v>0</v>
      </c>
      <c r="N6" s="20" t="n">
        <f aca="false">IF(K6&gt;0,I6,0)</f>
        <v>0</v>
      </c>
    </row>
    <row r="7" customFormat="false" ht="15" hidden="false" customHeight="false" outlineLevel="0" collapsed="false">
      <c r="A7" s="15" t="s">
        <v>125</v>
      </c>
      <c r="B7" s="5" t="s">
        <v>126</v>
      </c>
      <c r="C7" s="5" t="s">
        <v>28</v>
      </c>
      <c r="D7" s="6" t="n">
        <v>327</v>
      </c>
      <c r="E7" s="6" t="n">
        <v>254117</v>
      </c>
      <c r="F7" s="6" t="n">
        <v>777</v>
      </c>
      <c r="G7" s="6" t="n">
        <v>777</v>
      </c>
      <c r="H7" s="8" t="n">
        <f aca="false">G7-F7</f>
        <v>0</v>
      </c>
      <c r="I7" s="8" t="n">
        <f aca="false">D7*H7</f>
        <v>0</v>
      </c>
      <c r="J7" s="20" t="n">
        <f aca="false">D7*F7</f>
        <v>254079</v>
      </c>
      <c r="K7" s="37" t="n">
        <v>307.2</v>
      </c>
      <c r="L7" s="20" t="n">
        <f aca="false">D7*K7</f>
        <v>100454.4</v>
      </c>
      <c r="M7" s="20" t="n">
        <f aca="false">IF(K7&gt;0,J7,0)</f>
        <v>254079</v>
      </c>
      <c r="N7" s="20" t="n">
        <f aca="false">IF(K7&gt;0,I7,0)</f>
        <v>0</v>
      </c>
    </row>
    <row r="8" customFormat="false" ht="15" hidden="false" customHeight="false" outlineLevel="0" collapsed="false">
      <c r="A8" s="15" t="s">
        <v>127</v>
      </c>
      <c r="B8" s="5" t="s">
        <v>128</v>
      </c>
      <c r="C8" s="5" t="s">
        <v>28</v>
      </c>
      <c r="D8" s="6" t="n">
        <v>281</v>
      </c>
      <c r="E8" s="6" t="n">
        <v>218364</v>
      </c>
      <c r="F8" s="6" t="n">
        <v>777</v>
      </c>
      <c r="G8" s="6" t="n">
        <v>777</v>
      </c>
      <c r="H8" s="8" t="n">
        <f aca="false">G8-F8</f>
        <v>0</v>
      </c>
      <c r="I8" s="8" t="n">
        <f aca="false">D8*H8</f>
        <v>0</v>
      </c>
      <c r="J8" s="20" t="n">
        <f aca="false">D8*F8</f>
        <v>218337</v>
      </c>
      <c r="K8" s="37" t="n">
        <v>321.7</v>
      </c>
      <c r="L8" s="20" t="n">
        <f aca="false">D8*K8</f>
        <v>90397.7</v>
      </c>
      <c r="M8" s="20" t="n">
        <f aca="false">IF(K8&gt;0,J8,0)</f>
        <v>218337</v>
      </c>
      <c r="N8" s="20" t="n">
        <f aca="false">IF(K8&gt;0,I8,0)</f>
        <v>0</v>
      </c>
    </row>
    <row r="9" customFormat="false" ht="15" hidden="false" customHeight="false" outlineLevel="0" collapsed="false">
      <c r="A9" s="15" t="s">
        <v>129</v>
      </c>
      <c r="B9" s="5" t="s">
        <v>130</v>
      </c>
      <c r="C9" s="5" t="s">
        <v>28</v>
      </c>
      <c r="D9" s="6" t="n">
        <v>180</v>
      </c>
      <c r="E9" s="6" t="n">
        <v>139871</v>
      </c>
      <c r="F9" s="6" t="n">
        <v>777</v>
      </c>
      <c r="G9" s="6" t="n">
        <v>777</v>
      </c>
      <c r="H9" s="8" t="n">
        <f aca="false">G9-F9</f>
        <v>0</v>
      </c>
      <c r="I9" s="8" t="n">
        <f aca="false">D9*H9</f>
        <v>0</v>
      </c>
      <c r="J9" s="20" t="n">
        <f aca="false">D9*F9</f>
        <v>139860</v>
      </c>
      <c r="K9" s="37" t="n">
        <v>307.2</v>
      </c>
      <c r="L9" s="20" t="n">
        <f aca="false">D9*K9</f>
        <v>55296</v>
      </c>
      <c r="M9" s="20" t="n">
        <f aca="false">IF(K9&gt;0,J9,0)</f>
        <v>139860</v>
      </c>
      <c r="N9" s="20" t="n">
        <f aca="false">IF(K9&gt;0,I9,0)</f>
        <v>0</v>
      </c>
    </row>
    <row r="10" customFormat="false" ht="15" hidden="false" customHeight="false" outlineLevel="0" collapsed="false">
      <c r="A10" s="15" t="s">
        <v>131</v>
      </c>
      <c r="B10" s="15" t="s">
        <v>132</v>
      </c>
      <c r="C10" s="5" t="s">
        <v>28</v>
      </c>
      <c r="D10" s="6" t="n">
        <v>80</v>
      </c>
      <c r="E10" s="6" t="n">
        <v>74400</v>
      </c>
      <c r="F10" s="6" t="n">
        <v>930</v>
      </c>
      <c r="G10" s="6" t="n">
        <v>1203</v>
      </c>
      <c r="H10" s="8" t="n">
        <f aca="false">G10-F10</f>
        <v>273</v>
      </c>
      <c r="I10" s="8" t="n">
        <f aca="false">D10*H10</f>
        <v>21840</v>
      </c>
      <c r="J10" s="20" t="n">
        <f aca="false">D10*F10</f>
        <v>74400</v>
      </c>
      <c r="K10" s="37" t="n">
        <v>568.8</v>
      </c>
      <c r="L10" s="20" t="n">
        <f aca="false">D10*K10</f>
        <v>45504</v>
      </c>
      <c r="M10" s="20" t="n">
        <f aca="false">IF(K10&gt;0,J10,0)</f>
        <v>74400</v>
      </c>
      <c r="N10" s="20" t="n">
        <f aca="false">IF(K10&gt;0,I10,0)</f>
        <v>21840</v>
      </c>
    </row>
    <row r="11" customFormat="false" ht="15" hidden="false" customHeight="false" outlineLevel="0" collapsed="false">
      <c r="A11" s="15" t="s">
        <v>133</v>
      </c>
      <c r="B11" s="5" t="s">
        <v>134</v>
      </c>
      <c r="C11" s="5" t="s">
        <v>28</v>
      </c>
      <c r="D11" s="6" t="n">
        <v>128</v>
      </c>
      <c r="E11" s="6" t="n">
        <v>71760</v>
      </c>
      <c r="F11" s="6" t="n">
        <v>680</v>
      </c>
      <c r="G11" s="6" t="n">
        <v>698</v>
      </c>
      <c r="H11" s="8" t="n">
        <f aca="false">G11-F11</f>
        <v>18</v>
      </c>
      <c r="I11" s="8" t="n">
        <f aca="false">D11*H11</f>
        <v>2304</v>
      </c>
      <c r="J11" s="20" t="n">
        <f aca="false">D11*F11</f>
        <v>87040</v>
      </c>
      <c r="K11" s="37" t="n">
        <v>53.5</v>
      </c>
      <c r="L11" s="20" t="n">
        <f aca="false">D11*K11</f>
        <v>6848</v>
      </c>
      <c r="M11" s="20" t="n">
        <f aca="false">IF(K11&gt;0,J11,0)</f>
        <v>87040</v>
      </c>
      <c r="N11" s="20" t="n">
        <f aca="false">IF(K11&gt;0,I11,0)</f>
        <v>2304</v>
      </c>
    </row>
    <row r="12" customFormat="false" ht="15" hidden="false" customHeight="false" outlineLevel="0" collapsed="false">
      <c r="A12" s="15" t="s">
        <v>135</v>
      </c>
      <c r="B12" s="5" t="s">
        <v>136</v>
      </c>
      <c r="C12" s="5" t="s">
        <v>28</v>
      </c>
      <c r="D12" s="6" t="n">
        <v>97</v>
      </c>
      <c r="E12" s="6" t="n">
        <v>48922</v>
      </c>
      <c r="F12" s="6" t="n">
        <v>580</v>
      </c>
      <c r="G12" s="6" t="n">
        <v>607</v>
      </c>
      <c r="H12" s="8" t="n">
        <f aca="false">G12-F12</f>
        <v>27</v>
      </c>
      <c r="I12" s="8" t="n">
        <f aca="false">D12*H12</f>
        <v>2619</v>
      </c>
      <c r="J12" s="20" t="n">
        <f aca="false">D12*F12</f>
        <v>56260</v>
      </c>
      <c r="K12" s="37" t="n">
        <v>76.4288496788497</v>
      </c>
      <c r="L12" s="20" t="n">
        <f aca="false">D12*K12</f>
        <v>7413.59841884842</v>
      </c>
      <c r="M12" s="20" t="n">
        <f aca="false">IF(K12&gt;0,J12,0)</f>
        <v>56260</v>
      </c>
      <c r="N12" s="20" t="n">
        <f aca="false">IF(K12&gt;0,I12,0)</f>
        <v>2619</v>
      </c>
    </row>
    <row r="13" customFormat="false" ht="15" hidden="false" customHeight="false" outlineLevel="0" collapsed="false">
      <c r="A13" s="15" t="s">
        <v>137</v>
      </c>
      <c r="B13" s="5" t="s">
        <v>138</v>
      </c>
      <c r="C13" s="5" t="s">
        <v>28</v>
      </c>
      <c r="D13" s="6" t="n">
        <v>44</v>
      </c>
      <c r="E13" s="6" t="n">
        <v>38720</v>
      </c>
      <c r="F13" s="6" t="n">
        <v>880</v>
      </c>
      <c r="G13" s="6" t="n">
        <v>898</v>
      </c>
      <c r="H13" s="8" t="n">
        <f aca="false">G13-F13</f>
        <v>18</v>
      </c>
      <c r="I13" s="8" t="n">
        <f aca="false">D13*H13</f>
        <v>792</v>
      </c>
      <c r="J13" s="20" t="n">
        <f aca="false">D13*F13</f>
        <v>38720</v>
      </c>
      <c r="K13" s="37" t="n">
        <v>296</v>
      </c>
      <c r="L13" s="20" t="n">
        <f aca="false">D13*K13</f>
        <v>13024</v>
      </c>
      <c r="M13" s="20" t="n">
        <f aca="false">IF(K13&gt;0,J13,0)</f>
        <v>38720</v>
      </c>
      <c r="N13" s="20" t="n">
        <f aca="false">IF(K13&gt;0,I13,0)</f>
        <v>792</v>
      </c>
    </row>
    <row r="14" customFormat="false" ht="15" hidden="false" customHeight="false" outlineLevel="0" collapsed="false">
      <c r="A14" s="15" t="s">
        <v>139</v>
      </c>
      <c r="B14" s="5" t="s">
        <v>140</v>
      </c>
      <c r="C14" s="5" t="s">
        <v>28</v>
      </c>
      <c r="D14" s="6" t="n">
        <v>65</v>
      </c>
      <c r="E14" s="6" t="n">
        <v>34700</v>
      </c>
      <c r="F14" s="6" t="n">
        <v>580</v>
      </c>
      <c r="G14" s="6" t="n">
        <v>607</v>
      </c>
      <c r="H14" s="8" t="n">
        <f aca="false">G14-F14</f>
        <v>27</v>
      </c>
      <c r="I14" s="8" t="n">
        <f aca="false">D14*H14</f>
        <v>1755</v>
      </c>
      <c r="J14" s="20" t="n">
        <f aca="false">D14*F14</f>
        <v>37700</v>
      </c>
      <c r="K14" s="37" t="n">
        <v>81.8</v>
      </c>
      <c r="L14" s="20" t="n">
        <f aca="false">D14*K14</f>
        <v>5317</v>
      </c>
      <c r="M14" s="20" t="n">
        <f aca="false">IF(K14&gt;0,J14,0)</f>
        <v>37700</v>
      </c>
      <c r="N14" s="20" t="n">
        <f aca="false">IF(K14&gt;0,I14,0)</f>
        <v>1755</v>
      </c>
    </row>
    <row r="15" customFormat="false" ht="15" hidden="false" customHeight="false" outlineLevel="0" collapsed="false">
      <c r="A15" s="15" t="s">
        <v>141</v>
      </c>
      <c r="B15" s="5" t="s">
        <v>142</v>
      </c>
      <c r="C15" s="5" t="s">
        <v>28</v>
      </c>
      <c r="D15" s="6" t="n">
        <v>39</v>
      </c>
      <c r="E15" s="6" t="n">
        <v>34322</v>
      </c>
      <c r="F15" s="6" t="n">
        <v>880</v>
      </c>
      <c r="G15" s="6" t="n">
        <v>898</v>
      </c>
      <c r="H15" s="8" t="n">
        <f aca="false">G15-F15</f>
        <v>18</v>
      </c>
      <c r="I15" s="8" t="n">
        <f aca="false">D15*H15</f>
        <v>702</v>
      </c>
      <c r="J15" s="20" t="n">
        <f aca="false">D15*F15</f>
        <v>34320</v>
      </c>
      <c r="K15" s="37" t="n">
        <v>310</v>
      </c>
      <c r="L15" s="20" t="n">
        <f aca="false">D15*K15</f>
        <v>12090</v>
      </c>
      <c r="M15" s="20" t="n">
        <f aca="false">IF(K15&gt;0,J15,0)</f>
        <v>34320</v>
      </c>
      <c r="N15" s="20" t="n">
        <f aca="false">IF(K15&gt;0,I15,0)</f>
        <v>702</v>
      </c>
    </row>
    <row r="16" customFormat="false" ht="15" hidden="false" customHeight="false" outlineLevel="0" collapsed="false">
      <c r="A16" s="15" t="s">
        <v>143</v>
      </c>
      <c r="B16" s="5" t="s">
        <v>144</v>
      </c>
      <c r="C16" s="5" t="s">
        <v>28</v>
      </c>
      <c r="D16" s="6" t="n">
        <v>72</v>
      </c>
      <c r="E16" s="6" t="n">
        <v>33840</v>
      </c>
      <c r="F16" s="6" t="n">
        <v>580</v>
      </c>
      <c r="G16" s="6" t="n">
        <v>607</v>
      </c>
      <c r="H16" s="8" t="n">
        <f aca="false">G16-F16</f>
        <v>27</v>
      </c>
      <c r="I16" s="8" t="n">
        <f aca="false">D16*H16</f>
        <v>1944</v>
      </c>
      <c r="J16" s="20" t="n">
        <f aca="false">D16*F16</f>
        <v>41760</v>
      </c>
      <c r="K16" s="37" t="n">
        <v>80.4</v>
      </c>
      <c r="L16" s="20" t="n">
        <f aca="false">D16*K16</f>
        <v>5788.8</v>
      </c>
      <c r="M16" s="20" t="n">
        <f aca="false">IF(K16&gt;0,J16,0)</f>
        <v>41760</v>
      </c>
      <c r="N16" s="20" t="n">
        <f aca="false">IF(K16&gt;0,I16,0)</f>
        <v>1944</v>
      </c>
    </row>
    <row r="17" customFormat="false" ht="15" hidden="false" customHeight="false" outlineLevel="0" collapsed="false">
      <c r="A17" s="15" t="s">
        <v>145</v>
      </c>
      <c r="B17" s="5" t="s">
        <v>146</v>
      </c>
      <c r="C17" s="5" t="s">
        <v>28</v>
      </c>
      <c r="D17" s="6" t="n">
        <v>54</v>
      </c>
      <c r="E17" s="6" t="n">
        <v>31320</v>
      </c>
      <c r="F17" s="6" t="n">
        <v>580</v>
      </c>
      <c r="G17" s="6" t="n">
        <v>607</v>
      </c>
      <c r="H17" s="8" t="n">
        <f aca="false">G17-F17</f>
        <v>27</v>
      </c>
      <c r="I17" s="8" t="n">
        <f aca="false">D17*H17</f>
        <v>1458</v>
      </c>
      <c r="J17" s="20" t="n">
        <f aca="false">D17*F17</f>
        <v>31320</v>
      </c>
      <c r="K17" s="37" t="n">
        <v>81.8</v>
      </c>
      <c r="L17" s="20" t="n">
        <f aca="false">D17*K17</f>
        <v>4417.2</v>
      </c>
      <c r="M17" s="20" t="n">
        <f aca="false">IF(K17&gt;0,J17,0)</f>
        <v>31320</v>
      </c>
      <c r="N17" s="20" t="n">
        <f aca="false">IF(K17&gt;0,I17,0)</f>
        <v>1458</v>
      </c>
    </row>
    <row r="18" customFormat="false" ht="15" hidden="false" customHeight="false" outlineLevel="0" collapsed="false">
      <c r="A18" s="15" t="s">
        <v>147</v>
      </c>
      <c r="B18" s="5" t="s">
        <v>148</v>
      </c>
      <c r="C18" s="5" t="s">
        <v>28</v>
      </c>
      <c r="D18" s="6" t="n">
        <v>48</v>
      </c>
      <c r="E18" s="6" t="n">
        <v>27840</v>
      </c>
      <c r="F18" s="6" t="n">
        <v>580</v>
      </c>
      <c r="G18" s="6" t="n">
        <v>607</v>
      </c>
      <c r="H18" s="8" t="n">
        <f aca="false">G18-F18</f>
        <v>27</v>
      </c>
      <c r="I18" s="8" t="n">
        <f aca="false">D18*H18</f>
        <v>1296</v>
      </c>
      <c r="J18" s="20" t="n">
        <f aca="false">D18*F18</f>
        <v>27840</v>
      </c>
      <c r="K18" s="37" t="n">
        <v>133.6</v>
      </c>
      <c r="L18" s="20" t="n">
        <f aca="false">D18*K18</f>
        <v>6412.8</v>
      </c>
      <c r="M18" s="20" t="n">
        <f aca="false">IF(K18&gt;0,J18,0)</f>
        <v>27840</v>
      </c>
      <c r="N18" s="20" t="n">
        <f aca="false">IF(K18&gt;0,I18,0)</f>
        <v>1296</v>
      </c>
    </row>
    <row r="19" customFormat="false" ht="15" hidden="false" customHeight="false" outlineLevel="0" collapsed="false">
      <c r="A19" s="15" t="s">
        <v>149</v>
      </c>
      <c r="B19" s="5" t="s">
        <v>150</v>
      </c>
      <c r="C19" s="5" t="s">
        <v>28</v>
      </c>
      <c r="D19" s="6" t="n">
        <v>26</v>
      </c>
      <c r="E19" s="6" t="n">
        <v>22881</v>
      </c>
      <c r="F19" s="6" t="n">
        <v>880</v>
      </c>
      <c r="G19" s="6" t="n">
        <v>898</v>
      </c>
      <c r="H19" s="8" t="n">
        <f aca="false">G19-F19</f>
        <v>18</v>
      </c>
      <c r="I19" s="8" t="n">
        <f aca="false">D19*H19</f>
        <v>468</v>
      </c>
      <c r="J19" s="20" t="n">
        <f aca="false">D19*F19</f>
        <v>22880</v>
      </c>
      <c r="K19" s="37" t="n">
        <v>215</v>
      </c>
      <c r="L19" s="20" t="n">
        <f aca="false">D19*K19</f>
        <v>5590</v>
      </c>
      <c r="M19" s="20" t="n">
        <f aca="false">IF(K19&gt;0,J19,0)</f>
        <v>22880</v>
      </c>
      <c r="N19" s="20" t="n">
        <f aca="false">IF(K19&gt;0,I19,0)</f>
        <v>468</v>
      </c>
    </row>
    <row r="20" customFormat="false" ht="15" hidden="false" customHeight="false" outlineLevel="0" collapsed="false">
      <c r="A20" s="5" t="s">
        <v>151</v>
      </c>
      <c r="B20" s="5" t="s">
        <v>152</v>
      </c>
      <c r="C20" s="5" t="s">
        <v>28</v>
      </c>
      <c r="D20" s="6" t="n">
        <v>58</v>
      </c>
      <c r="E20" s="6" t="n">
        <v>22678</v>
      </c>
      <c r="F20" s="6" t="n">
        <v>530</v>
      </c>
      <c r="G20" s="6" t="n">
        <v>580</v>
      </c>
      <c r="H20" s="8" t="n">
        <f aca="false">G20-F20</f>
        <v>50</v>
      </c>
      <c r="I20" s="8" t="n">
        <f aca="false">D20*H20</f>
        <v>2900</v>
      </c>
      <c r="J20" s="20" t="n">
        <f aca="false">D20*F20</f>
        <v>30740</v>
      </c>
      <c r="K20" s="37" t="n">
        <v>169.7</v>
      </c>
      <c r="L20" s="20" t="n">
        <f aca="false">D20*K20</f>
        <v>9842.6</v>
      </c>
      <c r="M20" s="20" t="n">
        <f aca="false">IF(K20&gt;0,J20,0)</f>
        <v>30740</v>
      </c>
      <c r="N20" s="20" t="n">
        <f aca="false">IF(K20&gt;0,I20,0)</f>
        <v>2900</v>
      </c>
    </row>
    <row r="21" customFormat="false" ht="15" hidden="false" customHeight="false" outlineLevel="0" collapsed="false">
      <c r="A21" s="15" t="s">
        <v>153</v>
      </c>
      <c r="B21" s="5" t="s">
        <v>154</v>
      </c>
      <c r="C21" s="5" t="s">
        <v>28</v>
      </c>
      <c r="D21" s="6" t="n">
        <v>34</v>
      </c>
      <c r="E21" s="6" t="n">
        <v>19721</v>
      </c>
      <c r="F21" s="6" t="n">
        <v>580</v>
      </c>
      <c r="G21" s="6" t="n">
        <v>607</v>
      </c>
      <c r="H21" s="8" t="n">
        <f aca="false">G21-F21</f>
        <v>27</v>
      </c>
      <c r="I21" s="8" t="n">
        <f aca="false">D21*H21</f>
        <v>918</v>
      </c>
      <c r="J21" s="20" t="n">
        <f aca="false">D21*F21</f>
        <v>19720</v>
      </c>
      <c r="K21" s="37" t="n">
        <v>121.1</v>
      </c>
      <c r="L21" s="20" t="n">
        <f aca="false">D21*K21</f>
        <v>4117.4</v>
      </c>
      <c r="M21" s="20" t="n">
        <f aca="false">IF(K21&gt;0,J21,0)</f>
        <v>19720</v>
      </c>
      <c r="N21" s="20" t="n">
        <f aca="false">IF(K21&gt;0,I21,0)</f>
        <v>918</v>
      </c>
    </row>
    <row r="22" customFormat="false" ht="15" hidden="false" customHeight="false" outlineLevel="0" collapsed="false">
      <c r="A22" s="15" t="s">
        <v>155</v>
      </c>
      <c r="B22" s="5" t="s">
        <v>156</v>
      </c>
      <c r="C22" s="5" t="s">
        <v>28</v>
      </c>
      <c r="D22" s="6" t="n">
        <v>36</v>
      </c>
      <c r="E22" s="6" t="n">
        <v>19081</v>
      </c>
      <c r="F22" s="6" t="n">
        <v>530</v>
      </c>
      <c r="G22" s="6" t="n">
        <v>557</v>
      </c>
      <c r="H22" s="8" t="n">
        <f aca="false">G22-F22</f>
        <v>27</v>
      </c>
      <c r="I22" s="8" t="n">
        <f aca="false">D22*H22</f>
        <v>972</v>
      </c>
      <c r="J22" s="20" t="n">
        <f aca="false">D22*F22</f>
        <v>19080</v>
      </c>
      <c r="K22" s="37" t="n">
        <v>166.6</v>
      </c>
      <c r="L22" s="20" t="n">
        <f aca="false">D22*K22</f>
        <v>5997.6</v>
      </c>
      <c r="M22" s="20" t="n">
        <f aca="false">IF(K22&gt;0,J22,0)</f>
        <v>19080</v>
      </c>
      <c r="N22" s="20" t="n">
        <f aca="false">IF(K22&gt;0,I22,0)</f>
        <v>972</v>
      </c>
    </row>
    <row r="23" customFormat="false" ht="15" hidden="false" customHeight="false" outlineLevel="0" collapsed="false">
      <c r="A23" s="15" t="s">
        <v>157</v>
      </c>
      <c r="B23" s="5" t="s">
        <v>158</v>
      </c>
      <c r="C23" s="5" t="s">
        <v>28</v>
      </c>
      <c r="D23" s="6" t="n">
        <v>35</v>
      </c>
      <c r="E23" s="6" t="n">
        <v>18550</v>
      </c>
      <c r="F23" s="6" t="n">
        <v>530</v>
      </c>
      <c r="G23" s="6" t="n">
        <v>557</v>
      </c>
      <c r="H23" s="8" t="n">
        <f aca="false">G23-F23</f>
        <v>27</v>
      </c>
      <c r="I23" s="8" t="n">
        <f aca="false">D23*H23</f>
        <v>945</v>
      </c>
      <c r="J23" s="20" t="n">
        <f aca="false">D23*F23</f>
        <v>18550</v>
      </c>
      <c r="K23" s="37" t="n">
        <v>166.6</v>
      </c>
      <c r="L23" s="20" t="n">
        <f aca="false">D23*K23</f>
        <v>5831</v>
      </c>
      <c r="M23" s="20" t="n">
        <f aca="false">IF(K23&gt;0,J23,0)</f>
        <v>18550</v>
      </c>
      <c r="N23" s="20" t="n">
        <f aca="false">IF(K23&gt;0,I23,0)</f>
        <v>945</v>
      </c>
    </row>
    <row r="24" customFormat="false" ht="15" hidden="false" customHeight="false" outlineLevel="0" collapsed="false">
      <c r="A24" s="15" t="s">
        <v>159</v>
      </c>
      <c r="B24" s="5" t="s">
        <v>160</v>
      </c>
      <c r="C24" s="5" t="s">
        <v>28</v>
      </c>
      <c r="D24" s="6" t="n">
        <v>30</v>
      </c>
      <c r="E24" s="6" t="n">
        <v>17400</v>
      </c>
      <c r="F24" s="6" t="n">
        <v>580</v>
      </c>
      <c r="G24" s="6" t="n">
        <v>607</v>
      </c>
      <c r="H24" s="8" t="n">
        <f aca="false">G24-F24</f>
        <v>27</v>
      </c>
      <c r="I24" s="8" t="n">
        <f aca="false">D24*H24</f>
        <v>810</v>
      </c>
      <c r="J24" s="20" t="n">
        <f aca="false">D24*F24</f>
        <v>17400</v>
      </c>
      <c r="K24" s="37" t="n">
        <v>139.1</v>
      </c>
      <c r="L24" s="20" t="n">
        <f aca="false">D24*K24</f>
        <v>4173</v>
      </c>
      <c r="M24" s="20" t="n">
        <f aca="false">IF(K24&gt;0,J24,0)</f>
        <v>17400</v>
      </c>
      <c r="N24" s="20" t="n">
        <f aca="false">IF(K24&gt;0,I24,0)</f>
        <v>810</v>
      </c>
    </row>
    <row r="25" customFormat="false" ht="15" hidden="false" customHeight="false" outlineLevel="0" collapsed="false">
      <c r="A25" s="15" t="s">
        <v>161</v>
      </c>
      <c r="B25" s="5" t="s">
        <v>162</v>
      </c>
      <c r="C25" s="5" t="s">
        <v>28</v>
      </c>
      <c r="D25" s="6" t="n">
        <v>26</v>
      </c>
      <c r="E25" s="6" t="n">
        <v>15080</v>
      </c>
      <c r="F25" s="6" t="n">
        <v>580</v>
      </c>
      <c r="G25" s="6" t="n">
        <v>607</v>
      </c>
      <c r="H25" s="8" t="n">
        <f aca="false">G25-F25</f>
        <v>27</v>
      </c>
      <c r="I25" s="8" t="n">
        <f aca="false">D25*H25</f>
        <v>702</v>
      </c>
      <c r="J25" s="20" t="n">
        <f aca="false">D25*F25</f>
        <v>15080</v>
      </c>
      <c r="K25" s="37" t="n">
        <v>243.6</v>
      </c>
      <c r="L25" s="20" t="n">
        <f aca="false">D25*K25</f>
        <v>6333.6</v>
      </c>
      <c r="M25" s="20" t="n">
        <f aca="false">IF(K25&gt;0,J25,0)</f>
        <v>15080</v>
      </c>
      <c r="N25" s="20" t="n">
        <f aca="false">IF(K25&gt;0,I25,0)</f>
        <v>702</v>
      </c>
    </row>
    <row r="26" customFormat="false" ht="15" hidden="false" customHeight="false" outlineLevel="0" collapsed="false">
      <c r="A26" s="15" t="s">
        <v>163</v>
      </c>
      <c r="B26" s="5" t="s">
        <v>164</v>
      </c>
      <c r="C26" s="5" t="s">
        <v>28</v>
      </c>
      <c r="D26" s="6" t="n">
        <v>58</v>
      </c>
      <c r="E26" s="6" t="n">
        <v>14980</v>
      </c>
      <c r="F26" s="6" t="n">
        <v>280</v>
      </c>
      <c r="G26" s="6" t="n">
        <v>280</v>
      </c>
      <c r="H26" s="8" t="n">
        <f aca="false">G26-F26</f>
        <v>0</v>
      </c>
      <c r="I26" s="8" t="n">
        <f aca="false">D26*H26</f>
        <v>0</v>
      </c>
      <c r="J26" s="20" t="n">
        <f aca="false">D26*F26</f>
        <v>16240</v>
      </c>
      <c r="K26" s="37"/>
      <c r="L26" s="20" t="n">
        <f aca="false">D26*K26</f>
        <v>0</v>
      </c>
      <c r="M26" s="20" t="n">
        <f aca="false">IF(K26&gt;0,J26,0)</f>
        <v>0</v>
      </c>
      <c r="N26" s="20" t="n">
        <f aca="false">IF(K26&gt;0,I26,0)</f>
        <v>0</v>
      </c>
    </row>
    <row r="27" customFormat="false" ht="15" hidden="false" customHeight="false" outlineLevel="0" collapsed="false">
      <c r="A27" s="15" t="s">
        <v>165</v>
      </c>
      <c r="B27" s="5" t="s">
        <v>166</v>
      </c>
      <c r="C27" s="5" t="s">
        <v>28</v>
      </c>
      <c r="D27" s="6" t="n">
        <v>25</v>
      </c>
      <c r="E27" s="6" t="n">
        <v>14500</v>
      </c>
      <c r="F27" s="6" t="n">
        <v>580</v>
      </c>
      <c r="G27" s="6" t="n">
        <v>607</v>
      </c>
      <c r="H27" s="8" t="n">
        <f aca="false">G27-F27</f>
        <v>27</v>
      </c>
      <c r="I27" s="8" t="n">
        <f aca="false">D27*H27</f>
        <v>675</v>
      </c>
      <c r="J27" s="20" t="n">
        <f aca="false">D27*F27</f>
        <v>14500</v>
      </c>
      <c r="K27" s="37" t="n">
        <v>116.2</v>
      </c>
      <c r="L27" s="20" t="n">
        <f aca="false">D27*K27</f>
        <v>2905</v>
      </c>
      <c r="M27" s="20" t="n">
        <f aca="false">IF(K27&gt;0,J27,0)</f>
        <v>14500</v>
      </c>
      <c r="N27" s="20" t="n">
        <f aca="false">IF(K27&gt;0,I27,0)</f>
        <v>675</v>
      </c>
    </row>
    <row r="28" customFormat="false" ht="15" hidden="false" customHeight="false" outlineLevel="0" collapsed="false">
      <c r="A28" s="5" t="s">
        <v>167</v>
      </c>
      <c r="B28" s="5" t="s">
        <v>168</v>
      </c>
      <c r="C28" s="5" t="s">
        <v>28</v>
      </c>
      <c r="D28" s="6" t="n">
        <v>21</v>
      </c>
      <c r="E28" s="6" t="n">
        <v>14280</v>
      </c>
      <c r="F28" s="6" t="n">
        <v>680</v>
      </c>
      <c r="G28" s="6" t="n">
        <v>707</v>
      </c>
      <c r="H28" s="8" t="n">
        <f aca="false">G28-F28</f>
        <v>27</v>
      </c>
      <c r="I28" s="8" t="n">
        <f aca="false">D28*H28</f>
        <v>567</v>
      </c>
      <c r="J28" s="20" t="n">
        <f aca="false">D28*F28</f>
        <v>14280</v>
      </c>
      <c r="K28" s="37" t="n">
        <v>270</v>
      </c>
      <c r="L28" s="20" t="n">
        <f aca="false">D28*K28</f>
        <v>5670</v>
      </c>
      <c r="M28" s="20" t="n">
        <f aca="false">IF(K28&gt;0,J28,0)</f>
        <v>14280</v>
      </c>
      <c r="N28" s="20" t="n">
        <f aca="false">IF(K28&gt;0,I28,0)</f>
        <v>567</v>
      </c>
    </row>
    <row r="29" customFormat="false" ht="15" hidden="false" customHeight="false" outlineLevel="0" collapsed="false">
      <c r="A29" s="15" t="s">
        <v>169</v>
      </c>
      <c r="B29" s="5" t="s">
        <v>170</v>
      </c>
      <c r="C29" s="5" t="s">
        <v>28</v>
      </c>
      <c r="D29" s="6" t="n">
        <v>17</v>
      </c>
      <c r="E29" s="6" t="n">
        <v>11560</v>
      </c>
      <c r="F29" s="6" t="n">
        <v>680</v>
      </c>
      <c r="G29" s="6" t="n">
        <v>698</v>
      </c>
      <c r="H29" s="8" t="n">
        <f aca="false">G29-F29</f>
        <v>18</v>
      </c>
      <c r="I29" s="8" t="n">
        <f aca="false">D29*H29</f>
        <v>306</v>
      </c>
      <c r="J29" s="20" t="n">
        <f aca="false">D29*F29</f>
        <v>11560</v>
      </c>
      <c r="K29" s="37" t="n">
        <v>226.2</v>
      </c>
      <c r="L29" s="20" t="n">
        <f aca="false">D29*K29</f>
        <v>3845.4</v>
      </c>
      <c r="M29" s="20" t="n">
        <f aca="false">IF(K29&gt;0,J29,0)</f>
        <v>11560</v>
      </c>
      <c r="N29" s="20" t="n">
        <f aca="false">IF(K29&gt;0,I29,0)</f>
        <v>306</v>
      </c>
    </row>
    <row r="30" customFormat="false" ht="15" hidden="false" customHeight="false" outlineLevel="0" collapsed="false">
      <c r="A30" s="15" t="s">
        <v>171</v>
      </c>
      <c r="B30" s="5" t="s">
        <v>172</v>
      </c>
      <c r="C30" s="5" t="s">
        <v>28</v>
      </c>
      <c r="D30" s="6" t="n">
        <v>6</v>
      </c>
      <c r="E30" s="6" t="n">
        <v>10680</v>
      </c>
      <c r="F30" s="6" t="n">
        <v>1780</v>
      </c>
      <c r="G30" s="6" t="n">
        <v>1816</v>
      </c>
      <c r="H30" s="8" t="n">
        <f aca="false">G30-F30</f>
        <v>36</v>
      </c>
      <c r="I30" s="8" t="n">
        <f aca="false">D30*H30</f>
        <v>216</v>
      </c>
      <c r="J30" s="20" t="n">
        <f aca="false">D30*F30</f>
        <v>10680</v>
      </c>
      <c r="K30" s="37" t="n">
        <v>680</v>
      </c>
      <c r="L30" s="20" t="n">
        <f aca="false">D30*K30</f>
        <v>4080</v>
      </c>
      <c r="M30" s="20" t="n">
        <f aca="false">IF(K30&gt;0,J30,0)</f>
        <v>10680</v>
      </c>
      <c r="N30" s="20" t="n">
        <f aca="false">IF(K30&gt;0,I30,0)</f>
        <v>216</v>
      </c>
    </row>
    <row r="31" customFormat="false" ht="15" hidden="false" customHeight="false" outlineLevel="0" collapsed="false">
      <c r="A31" s="15" t="s">
        <v>173</v>
      </c>
      <c r="B31" s="5" t="s">
        <v>174</v>
      </c>
      <c r="C31" s="5" t="s">
        <v>28</v>
      </c>
      <c r="D31" s="6" t="n">
        <v>18</v>
      </c>
      <c r="E31" s="6" t="n">
        <v>10440</v>
      </c>
      <c r="F31" s="6" t="n">
        <v>580</v>
      </c>
      <c r="G31" s="6" t="n">
        <v>607</v>
      </c>
      <c r="H31" s="8" t="n">
        <f aca="false">G31-F31</f>
        <v>27</v>
      </c>
      <c r="I31" s="8" t="n">
        <f aca="false">D31*H31</f>
        <v>486</v>
      </c>
      <c r="J31" s="20" t="n">
        <f aca="false">D31*F31</f>
        <v>10440</v>
      </c>
      <c r="K31" s="37" t="n">
        <v>89.3</v>
      </c>
      <c r="L31" s="20" t="n">
        <f aca="false">D31*K31</f>
        <v>1607.4</v>
      </c>
      <c r="M31" s="20" t="n">
        <f aca="false">IF(K31&gt;0,J31,0)</f>
        <v>10440</v>
      </c>
      <c r="N31" s="20" t="n">
        <f aca="false">IF(K31&gt;0,I31,0)</f>
        <v>486</v>
      </c>
    </row>
    <row r="32" customFormat="false" ht="15" hidden="false" customHeight="false" outlineLevel="0" collapsed="false">
      <c r="A32" s="15" t="s">
        <v>175</v>
      </c>
      <c r="B32" s="5" t="s">
        <v>176</v>
      </c>
      <c r="C32" s="5" t="s">
        <v>28</v>
      </c>
      <c r="D32" s="6" t="n">
        <v>15</v>
      </c>
      <c r="E32" s="6" t="n">
        <v>10200</v>
      </c>
      <c r="F32" s="6" t="n">
        <v>680</v>
      </c>
      <c r="G32" s="6" t="n">
        <v>698</v>
      </c>
      <c r="H32" s="8" t="n">
        <f aca="false">G32-F32</f>
        <v>18</v>
      </c>
      <c r="I32" s="8" t="n">
        <f aca="false">D32*H32</f>
        <v>270</v>
      </c>
      <c r="J32" s="20" t="n">
        <f aca="false">D32*F32</f>
        <v>10200</v>
      </c>
      <c r="K32" s="37" t="n">
        <v>172</v>
      </c>
      <c r="L32" s="20" t="n">
        <f aca="false">D32*K32</f>
        <v>2580</v>
      </c>
      <c r="M32" s="20" t="n">
        <f aca="false">IF(K32&gt;0,J32,0)</f>
        <v>10200</v>
      </c>
      <c r="N32" s="20" t="n">
        <f aca="false">IF(K32&gt;0,I32,0)</f>
        <v>270</v>
      </c>
    </row>
    <row r="33" customFormat="false" ht="15" hidden="false" customHeight="false" outlineLevel="0" collapsed="false">
      <c r="A33" s="5" t="s">
        <v>177</v>
      </c>
      <c r="B33" s="5" t="s">
        <v>178</v>
      </c>
      <c r="C33" s="5" t="s">
        <v>28</v>
      </c>
      <c r="D33" s="6" t="n">
        <v>23</v>
      </c>
      <c r="E33" s="6" t="n">
        <v>10028</v>
      </c>
      <c r="F33" s="6" t="n">
        <v>530</v>
      </c>
      <c r="G33" s="6" t="n">
        <v>557</v>
      </c>
      <c r="H33" s="8" t="n">
        <f aca="false">G33-F33</f>
        <v>27</v>
      </c>
      <c r="I33" s="8" t="n">
        <f aca="false">D33*H33</f>
        <v>621</v>
      </c>
      <c r="J33" s="20" t="n">
        <f aca="false">D33*F33</f>
        <v>12190</v>
      </c>
      <c r="K33" s="37" t="n">
        <v>64.3</v>
      </c>
      <c r="L33" s="20" t="n">
        <f aca="false">D33*K33</f>
        <v>1478.9</v>
      </c>
      <c r="M33" s="20" t="n">
        <f aca="false">IF(K33&gt;0,J33,0)</f>
        <v>12190</v>
      </c>
      <c r="N33" s="20" t="n">
        <f aca="false">IF(K33&gt;0,I33,0)</f>
        <v>621</v>
      </c>
    </row>
    <row r="34" customFormat="false" ht="15" hidden="false" customHeight="false" outlineLevel="0" collapsed="false">
      <c r="A34" s="15" t="s">
        <v>179</v>
      </c>
      <c r="B34" s="5" t="s">
        <v>180</v>
      </c>
      <c r="C34" s="5" t="s">
        <v>28</v>
      </c>
      <c r="D34" s="6" t="n">
        <v>7</v>
      </c>
      <c r="E34" s="6" t="n">
        <v>8260</v>
      </c>
      <c r="F34" s="6" t="n">
        <v>1180</v>
      </c>
      <c r="G34" s="6" t="n">
        <v>1207</v>
      </c>
      <c r="H34" s="8" t="n">
        <f aca="false">G34-F34</f>
        <v>27</v>
      </c>
      <c r="I34" s="8" t="n">
        <f aca="false">D34*H34</f>
        <v>189</v>
      </c>
      <c r="J34" s="20" t="n">
        <f aca="false">D34*F34</f>
        <v>8260</v>
      </c>
      <c r="K34" s="37" t="n">
        <v>420</v>
      </c>
      <c r="L34" s="20" t="n">
        <f aca="false">D34*K34</f>
        <v>2940</v>
      </c>
      <c r="M34" s="20" t="n">
        <f aca="false">IF(K34&gt;0,J34,0)</f>
        <v>8260</v>
      </c>
      <c r="N34" s="20" t="n">
        <f aca="false">IF(K34&gt;0,I34,0)</f>
        <v>189</v>
      </c>
    </row>
    <row r="35" customFormat="false" ht="15" hidden="false" customHeight="false" outlineLevel="0" collapsed="false">
      <c r="A35" s="15" t="s">
        <v>181</v>
      </c>
      <c r="B35" s="5" t="s">
        <v>182</v>
      </c>
      <c r="C35" s="5" t="s">
        <v>28</v>
      </c>
      <c r="D35" s="6" t="n">
        <v>13</v>
      </c>
      <c r="E35" s="6" t="n">
        <v>7540</v>
      </c>
      <c r="F35" s="6" t="n">
        <v>580</v>
      </c>
      <c r="G35" s="6" t="n">
        <v>607</v>
      </c>
      <c r="H35" s="8" t="n">
        <f aca="false">G35-F35</f>
        <v>27</v>
      </c>
      <c r="I35" s="8" t="n">
        <f aca="false">D35*H35</f>
        <v>351</v>
      </c>
      <c r="J35" s="20" t="n">
        <f aca="false">D35*F35</f>
        <v>7540</v>
      </c>
      <c r="K35" s="37" t="n">
        <v>80.4</v>
      </c>
      <c r="L35" s="20" t="n">
        <f aca="false">D35*K35</f>
        <v>1045.2</v>
      </c>
      <c r="M35" s="20" t="n">
        <f aca="false">IF(K35&gt;0,J35,0)</f>
        <v>7540</v>
      </c>
      <c r="N35" s="20" t="n">
        <f aca="false">IF(K35&gt;0,I35,0)</f>
        <v>351</v>
      </c>
    </row>
    <row r="36" customFormat="false" ht="15" hidden="false" customHeight="false" outlineLevel="0" collapsed="false">
      <c r="A36" s="5" t="s">
        <v>183</v>
      </c>
      <c r="B36" s="5" t="s">
        <v>184</v>
      </c>
      <c r="C36" s="5" t="s">
        <v>28</v>
      </c>
      <c r="D36" s="6" t="n">
        <v>17</v>
      </c>
      <c r="E36" s="6" t="n">
        <v>7413</v>
      </c>
      <c r="F36" s="6" t="n">
        <v>580</v>
      </c>
      <c r="G36" s="6" t="n">
        <v>607</v>
      </c>
      <c r="H36" s="8" t="n">
        <f aca="false">G36-F36</f>
        <v>27</v>
      </c>
      <c r="I36" s="8" t="n">
        <f aca="false">D36*H36</f>
        <v>459</v>
      </c>
      <c r="J36" s="20" t="n">
        <f aca="false">D36*F36</f>
        <v>9860</v>
      </c>
      <c r="K36" s="37" t="n">
        <v>78.8</v>
      </c>
      <c r="L36" s="20" t="n">
        <f aca="false">D36*K36</f>
        <v>1339.6</v>
      </c>
      <c r="M36" s="20" t="n">
        <f aca="false">IF(K36&gt;0,J36,0)</f>
        <v>9860</v>
      </c>
      <c r="N36" s="20" t="n">
        <f aca="false">IF(K36&gt;0,I36,0)</f>
        <v>459</v>
      </c>
    </row>
    <row r="37" customFormat="false" ht="15" hidden="false" customHeight="false" outlineLevel="0" collapsed="false">
      <c r="A37" s="15" t="s">
        <v>185</v>
      </c>
      <c r="B37" s="5" t="s">
        <v>186</v>
      </c>
      <c r="C37" s="5" t="s">
        <v>28</v>
      </c>
      <c r="D37" s="6" t="n">
        <v>4</v>
      </c>
      <c r="E37" s="6" t="n">
        <v>7120</v>
      </c>
      <c r="F37" s="6" t="n">
        <v>1780</v>
      </c>
      <c r="G37" s="6" t="n">
        <v>1816</v>
      </c>
      <c r="H37" s="8" t="n">
        <f aca="false">G37-F37</f>
        <v>36</v>
      </c>
      <c r="I37" s="8" t="n">
        <f aca="false">D37*H37</f>
        <v>144</v>
      </c>
      <c r="J37" s="20" t="n">
        <f aca="false">D37*F37</f>
        <v>7120</v>
      </c>
      <c r="K37" s="37" t="n">
        <v>680</v>
      </c>
      <c r="L37" s="20" t="n">
        <f aca="false">D37*K37</f>
        <v>2720</v>
      </c>
      <c r="M37" s="20" t="n">
        <f aca="false">IF(K37&gt;0,J37,0)</f>
        <v>7120</v>
      </c>
      <c r="N37" s="20" t="n">
        <f aca="false">IF(K37&gt;0,I37,0)</f>
        <v>144</v>
      </c>
    </row>
    <row r="38" customFormat="false" ht="15" hidden="false" customHeight="false" outlineLevel="0" collapsed="false">
      <c r="A38" s="15" t="s">
        <v>187</v>
      </c>
      <c r="B38" s="5" t="s">
        <v>188</v>
      </c>
      <c r="C38" s="5" t="s">
        <v>28</v>
      </c>
      <c r="D38" s="6" t="n">
        <v>11</v>
      </c>
      <c r="E38" s="6" t="n">
        <v>6380</v>
      </c>
      <c r="F38" s="6" t="n">
        <v>580</v>
      </c>
      <c r="G38" s="6" t="n">
        <v>607</v>
      </c>
      <c r="H38" s="8" t="n">
        <f aca="false">G38-F38</f>
        <v>27</v>
      </c>
      <c r="I38" s="8" t="n">
        <f aca="false">D38*H38</f>
        <v>297</v>
      </c>
      <c r="J38" s="20" t="n">
        <f aca="false">D38*F38</f>
        <v>6380</v>
      </c>
      <c r="K38" s="37" t="n">
        <v>55.3</v>
      </c>
      <c r="L38" s="20" t="n">
        <f aca="false">D38*K38</f>
        <v>608.3</v>
      </c>
      <c r="M38" s="20" t="n">
        <f aca="false">IF(K38&gt;0,J38,0)</f>
        <v>6380</v>
      </c>
      <c r="N38" s="20" t="n">
        <f aca="false">IF(K38&gt;0,I38,0)</f>
        <v>297</v>
      </c>
    </row>
    <row r="39" customFormat="false" ht="15" hidden="false" customHeight="false" outlineLevel="0" collapsed="false">
      <c r="A39" s="5" t="s">
        <v>189</v>
      </c>
      <c r="B39" s="5" t="s">
        <v>190</v>
      </c>
      <c r="C39" s="5" t="s">
        <v>28</v>
      </c>
      <c r="D39" s="6" t="n">
        <v>12</v>
      </c>
      <c r="E39" s="6" t="n">
        <v>5232</v>
      </c>
      <c r="F39" s="6" t="n">
        <v>580</v>
      </c>
      <c r="G39" s="6" t="n">
        <v>607</v>
      </c>
      <c r="H39" s="8" t="n">
        <f aca="false">G39-F39</f>
        <v>27</v>
      </c>
      <c r="I39" s="8" t="n">
        <f aca="false">D39*H39</f>
        <v>324</v>
      </c>
      <c r="J39" s="20" t="n">
        <f aca="false">D39*F39</f>
        <v>6960</v>
      </c>
      <c r="K39" s="37" t="n">
        <v>49.5796433296433</v>
      </c>
      <c r="L39" s="20" t="n">
        <f aca="false">D39*K39</f>
        <v>594.95571995572</v>
      </c>
      <c r="M39" s="20" t="n">
        <f aca="false">IF(K39&gt;0,J39,0)</f>
        <v>6960</v>
      </c>
      <c r="N39" s="20" t="n">
        <f aca="false">IF(K39&gt;0,I39,0)</f>
        <v>324</v>
      </c>
    </row>
    <row r="40" customFormat="false" ht="15" hidden="false" customHeight="false" outlineLevel="0" collapsed="false">
      <c r="A40" s="5" t="s">
        <v>191</v>
      </c>
      <c r="B40" s="5" t="s">
        <v>192</v>
      </c>
      <c r="C40" s="5" t="s">
        <v>28</v>
      </c>
      <c r="D40" s="6" t="n">
        <v>10</v>
      </c>
      <c r="E40" s="6" t="n">
        <v>4360</v>
      </c>
      <c r="F40" s="6" t="n">
        <v>580</v>
      </c>
      <c r="G40" s="6" t="n">
        <v>607</v>
      </c>
      <c r="H40" s="8" t="n">
        <f aca="false">G40-F40</f>
        <v>27</v>
      </c>
      <c r="I40" s="8" t="n">
        <f aca="false">D40*H40</f>
        <v>270</v>
      </c>
      <c r="J40" s="20" t="n">
        <f aca="false">D40*F40</f>
        <v>5800</v>
      </c>
      <c r="K40" s="37" t="n">
        <v>66.4</v>
      </c>
      <c r="L40" s="20" t="n">
        <f aca="false">D40*K40</f>
        <v>664</v>
      </c>
      <c r="M40" s="20" t="n">
        <f aca="false">IF(K40&gt;0,J40,0)</f>
        <v>5800</v>
      </c>
      <c r="N40" s="20" t="n">
        <f aca="false">IF(K40&gt;0,I40,0)</f>
        <v>270</v>
      </c>
    </row>
    <row r="41" customFormat="false" ht="15" hidden="false" customHeight="false" outlineLevel="0" collapsed="false">
      <c r="A41" s="15" t="s">
        <v>193</v>
      </c>
      <c r="B41" s="5" t="s">
        <v>194</v>
      </c>
      <c r="C41" s="5" t="s">
        <v>28</v>
      </c>
      <c r="D41" s="6" t="n">
        <v>7</v>
      </c>
      <c r="E41" s="6" t="n">
        <v>4060</v>
      </c>
      <c r="F41" s="6" t="n">
        <v>580</v>
      </c>
      <c r="G41" s="6" t="n">
        <v>607</v>
      </c>
      <c r="H41" s="8" t="n">
        <f aca="false">G41-F41</f>
        <v>27</v>
      </c>
      <c r="I41" s="8" t="n">
        <f aca="false">D41*H41</f>
        <v>189</v>
      </c>
      <c r="J41" s="20" t="n">
        <f aca="false">D41*F41</f>
        <v>4060</v>
      </c>
      <c r="K41" s="37" t="n">
        <v>91</v>
      </c>
      <c r="L41" s="20" t="n">
        <f aca="false">D41*K41</f>
        <v>637</v>
      </c>
      <c r="M41" s="20" t="n">
        <f aca="false">IF(K41&gt;0,J41,0)</f>
        <v>4060</v>
      </c>
      <c r="N41" s="20" t="n">
        <f aca="false">IF(K41&gt;0,I41,0)</f>
        <v>189</v>
      </c>
    </row>
    <row r="42" customFormat="false" ht="15" hidden="false" customHeight="false" outlineLevel="0" collapsed="false">
      <c r="A42" s="15" t="s">
        <v>195</v>
      </c>
      <c r="B42" s="5" t="s">
        <v>196</v>
      </c>
      <c r="C42" s="5" t="s">
        <v>28</v>
      </c>
      <c r="D42" s="6" t="n">
        <v>3</v>
      </c>
      <c r="E42" s="6" t="n">
        <v>2040</v>
      </c>
      <c r="F42" s="6" t="n">
        <v>680</v>
      </c>
      <c r="G42" s="6" t="n">
        <v>698</v>
      </c>
      <c r="H42" s="8" t="n">
        <f aca="false">G42-F42</f>
        <v>18</v>
      </c>
      <c r="I42" s="8" t="n">
        <f aca="false">D42*H42</f>
        <v>54</v>
      </c>
      <c r="J42" s="20" t="n">
        <f aca="false">D42*F42</f>
        <v>2040</v>
      </c>
      <c r="K42" s="37" t="n">
        <v>124.1</v>
      </c>
      <c r="L42" s="20" t="n">
        <f aca="false">D42*K42</f>
        <v>372.3</v>
      </c>
      <c r="M42" s="20" t="n">
        <f aca="false">IF(K42&gt;0,J42,0)</f>
        <v>2040</v>
      </c>
      <c r="N42" s="20" t="n">
        <f aca="false">IF(K42&gt;0,I42,0)</f>
        <v>54</v>
      </c>
    </row>
    <row r="43" customFormat="false" ht="15" hidden="false" customHeight="false" outlineLevel="0" collapsed="false">
      <c r="A43" s="5" t="s">
        <v>197</v>
      </c>
      <c r="B43" s="5" t="s">
        <v>198</v>
      </c>
      <c r="C43" s="5" t="s">
        <v>28</v>
      </c>
      <c r="D43" s="6" t="n">
        <v>4</v>
      </c>
      <c r="E43" s="6" t="n">
        <v>1744</v>
      </c>
      <c r="F43" s="6" t="n">
        <v>580</v>
      </c>
      <c r="G43" s="6" t="n">
        <v>607</v>
      </c>
      <c r="H43" s="8" t="n">
        <f aca="false">G43-F43</f>
        <v>27</v>
      </c>
      <c r="I43" s="8" t="n">
        <f aca="false">D43*H43</f>
        <v>108</v>
      </c>
      <c r="J43" s="20" t="n">
        <f aca="false">D43*F43</f>
        <v>2320</v>
      </c>
      <c r="K43" s="37" t="n">
        <v>49.5796433296433</v>
      </c>
      <c r="L43" s="20" t="n">
        <f aca="false">D43*K43</f>
        <v>198.318573318573</v>
      </c>
      <c r="M43" s="20" t="n">
        <f aca="false">IF(K43&gt;0,J43,0)</f>
        <v>2320</v>
      </c>
      <c r="N43" s="20" t="n">
        <f aca="false">IF(K43&gt;0,I43,0)</f>
        <v>108</v>
      </c>
    </row>
    <row r="44" customFormat="false" ht="15" hidden="false" customHeight="false" outlineLevel="0" collapsed="false">
      <c r="A44" s="15" t="s">
        <v>199</v>
      </c>
      <c r="B44" s="5" t="s">
        <v>68</v>
      </c>
      <c r="C44" s="5" t="s">
        <v>29</v>
      </c>
      <c r="D44" s="6" t="n">
        <v>2134</v>
      </c>
      <c r="E44" s="6" t="n">
        <v>833618</v>
      </c>
      <c r="F44" s="6" t="n">
        <v>430</v>
      </c>
      <c r="G44" s="6" t="n">
        <v>430</v>
      </c>
      <c r="H44" s="8" t="n">
        <f aca="false">G44-F44</f>
        <v>0</v>
      </c>
      <c r="I44" s="8" t="n">
        <f aca="false">D44*H44</f>
        <v>0</v>
      </c>
      <c r="J44" s="20" t="n">
        <f aca="false">D44*F44</f>
        <v>917620</v>
      </c>
      <c r="K44" s="37" t="n">
        <v>94.0248902748903</v>
      </c>
      <c r="L44" s="20" t="n">
        <f aca="false">D44*K44</f>
        <v>200649.115846616</v>
      </c>
      <c r="M44" s="20" t="n">
        <f aca="false">IF(K44&gt;0,J44,0)</f>
        <v>917620</v>
      </c>
      <c r="N44" s="20" t="n">
        <f aca="false">IF(K44&gt;0,I44,0)</f>
        <v>0</v>
      </c>
    </row>
    <row r="45" customFormat="false" ht="15" hidden="false" customHeight="false" outlineLevel="0" collapsed="false">
      <c r="A45" s="15" t="s">
        <v>200</v>
      </c>
      <c r="B45" s="5" t="s">
        <v>201</v>
      </c>
      <c r="C45" s="5" t="s">
        <v>29</v>
      </c>
      <c r="D45" s="6" t="n">
        <v>165</v>
      </c>
      <c r="E45" s="6" t="n">
        <v>79200</v>
      </c>
      <c r="F45" s="6" t="n">
        <v>480</v>
      </c>
      <c r="G45" s="6" t="n">
        <v>507</v>
      </c>
      <c r="H45" s="8" t="n">
        <f aca="false">G45-F45</f>
        <v>27</v>
      </c>
      <c r="I45" s="8" t="n">
        <f aca="false">D45*H45</f>
        <v>4455</v>
      </c>
      <c r="J45" s="20" t="n">
        <f aca="false">D45*F45</f>
        <v>79200</v>
      </c>
      <c r="K45" s="37" t="n">
        <v>103.5</v>
      </c>
      <c r="L45" s="20" t="n">
        <f aca="false">D45*K45</f>
        <v>17077.5</v>
      </c>
      <c r="M45" s="20" t="n">
        <f aca="false">IF(K45&gt;0,J45,0)</f>
        <v>79200</v>
      </c>
      <c r="N45" s="20" t="n">
        <f aca="false">IF(K45&gt;0,I45,0)</f>
        <v>4455</v>
      </c>
    </row>
    <row r="46" customFormat="false" ht="15" hidden="false" customHeight="false" outlineLevel="0" collapsed="false">
      <c r="A46" s="15" t="s">
        <v>202</v>
      </c>
      <c r="B46" s="5" t="s">
        <v>203</v>
      </c>
      <c r="C46" s="5" t="s">
        <v>29</v>
      </c>
      <c r="D46" s="6" t="n">
        <v>107</v>
      </c>
      <c r="E46" s="6" t="n">
        <v>51360</v>
      </c>
      <c r="F46" s="6" t="n">
        <v>480</v>
      </c>
      <c r="G46" s="6" t="n">
        <v>507</v>
      </c>
      <c r="H46" s="8" t="n">
        <f aca="false">G46-F46</f>
        <v>27</v>
      </c>
      <c r="I46" s="8" t="n">
        <f aca="false">D46*H46</f>
        <v>2889</v>
      </c>
      <c r="J46" s="20" t="n">
        <f aca="false">D46*F46</f>
        <v>51360</v>
      </c>
      <c r="K46" s="37" t="n">
        <v>122.2</v>
      </c>
      <c r="L46" s="20" t="n">
        <f aca="false">D46*K46</f>
        <v>13075.4</v>
      </c>
      <c r="M46" s="20" t="n">
        <f aca="false">IF(K46&gt;0,J46,0)</f>
        <v>51360</v>
      </c>
      <c r="N46" s="20" t="n">
        <f aca="false">IF(K46&gt;0,I46,0)</f>
        <v>2889</v>
      </c>
    </row>
    <row r="47" customFormat="false" ht="15" hidden="false" customHeight="false" outlineLevel="0" collapsed="false">
      <c r="A47" s="15" t="s">
        <v>204</v>
      </c>
      <c r="B47" s="5" t="s">
        <v>205</v>
      </c>
      <c r="C47" s="5" t="s">
        <v>29</v>
      </c>
      <c r="D47" s="6" t="n">
        <v>193</v>
      </c>
      <c r="E47" s="6" t="n">
        <v>48544</v>
      </c>
      <c r="F47" s="6" t="n">
        <v>280</v>
      </c>
      <c r="G47" s="6" t="n">
        <v>307</v>
      </c>
      <c r="H47" s="8" t="n">
        <f aca="false">G47-F47</f>
        <v>27</v>
      </c>
      <c r="I47" s="8" t="n">
        <f aca="false">D47*H47</f>
        <v>5211</v>
      </c>
      <c r="J47" s="20" t="n">
        <f aca="false">D47*F47</f>
        <v>54040</v>
      </c>
      <c r="K47" s="37" t="n">
        <v>57.9</v>
      </c>
      <c r="L47" s="20" t="n">
        <f aca="false">D47*K47</f>
        <v>11174.7</v>
      </c>
      <c r="M47" s="20" t="n">
        <f aca="false">IF(K47&gt;0,J47,0)</f>
        <v>54040</v>
      </c>
      <c r="N47" s="20" t="n">
        <f aca="false">IF(K47&gt;0,I47,0)</f>
        <v>5211</v>
      </c>
    </row>
    <row r="48" customFormat="false" ht="15" hidden="false" customHeight="false" outlineLevel="0" collapsed="false">
      <c r="A48" s="15" t="s">
        <v>206</v>
      </c>
      <c r="B48" s="5" t="s">
        <v>207</v>
      </c>
      <c r="C48" s="5" t="s">
        <v>29</v>
      </c>
      <c r="D48" s="6" t="n">
        <v>136</v>
      </c>
      <c r="E48" s="6" t="n">
        <v>35920</v>
      </c>
      <c r="F48" s="6" t="n">
        <v>280</v>
      </c>
      <c r="G48" s="6" t="n">
        <v>307</v>
      </c>
      <c r="H48" s="8" t="n">
        <f aca="false">G48-F48</f>
        <v>27</v>
      </c>
      <c r="I48" s="8" t="n">
        <f aca="false">D48*H48</f>
        <v>3672</v>
      </c>
      <c r="J48" s="20" t="n">
        <f aca="false">D48*F48</f>
        <v>38080</v>
      </c>
      <c r="K48" s="37" t="n">
        <v>50.2</v>
      </c>
      <c r="L48" s="20" t="n">
        <f aca="false">D48*K48</f>
        <v>6827.2</v>
      </c>
      <c r="M48" s="20" t="n">
        <f aca="false">IF(K48&gt;0,J48,0)</f>
        <v>38080</v>
      </c>
      <c r="N48" s="20" t="n">
        <f aca="false">IF(K48&gt;0,I48,0)</f>
        <v>3672</v>
      </c>
    </row>
    <row r="49" customFormat="false" ht="15" hidden="false" customHeight="false" outlineLevel="0" collapsed="false">
      <c r="A49" s="15" t="s">
        <v>208</v>
      </c>
      <c r="B49" s="5" t="s">
        <v>209</v>
      </c>
      <c r="C49" s="5" t="s">
        <v>29</v>
      </c>
      <c r="D49" s="6" t="n">
        <v>74</v>
      </c>
      <c r="E49" s="6" t="n">
        <v>35520</v>
      </c>
      <c r="F49" s="6" t="n">
        <v>480</v>
      </c>
      <c r="G49" s="6" t="n">
        <v>507</v>
      </c>
      <c r="H49" s="8" t="n">
        <f aca="false">G49-F49</f>
        <v>27</v>
      </c>
      <c r="I49" s="8" t="n">
        <f aca="false">D49*H49</f>
        <v>1998</v>
      </c>
      <c r="J49" s="20" t="n">
        <f aca="false">D49*F49</f>
        <v>35520</v>
      </c>
      <c r="K49" s="37" t="n">
        <v>129.2</v>
      </c>
      <c r="L49" s="20" t="n">
        <f aca="false">D49*K49</f>
        <v>9560.8</v>
      </c>
      <c r="M49" s="20" t="n">
        <f aca="false">IF(K49&gt;0,J49,0)</f>
        <v>35520</v>
      </c>
      <c r="N49" s="20" t="n">
        <f aca="false">IF(K49&gt;0,I49,0)</f>
        <v>1998</v>
      </c>
    </row>
    <row r="50" customFormat="false" ht="15" hidden="false" customHeight="false" outlineLevel="0" collapsed="false">
      <c r="A50" s="15" t="s">
        <v>210</v>
      </c>
      <c r="B50" s="5" t="s">
        <v>211</v>
      </c>
      <c r="C50" s="5" t="s">
        <v>29</v>
      </c>
      <c r="D50" s="6" t="n">
        <v>114</v>
      </c>
      <c r="E50" s="6" t="n">
        <v>29640</v>
      </c>
      <c r="F50" s="6" t="n">
        <v>280</v>
      </c>
      <c r="G50" s="6" t="n">
        <v>307</v>
      </c>
      <c r="H50" s="8" t="n">
        <f aca="false">G50-F50</f>
        <v>27</v>
      </c>
      <c r="I50" s="8" t="n">
        <f aca="false">D50*H50</f>
        <v>3078</v>
      </c>
      <c r="J50" s="20" t="n">
        <f aca="false">D50*F50</f>
        <v>31920</v>
      </c>
      <c r="K50" s="37" t="n">
        <v>64.3</v>
      </c>
      <c r="L50" s="20" t="n">
        <f aca="false">D50*K50</f>
        <v>7330.2</v>
      </c>
      <c r="M50" s="20" t="n">
        <f aca="false">IF(K50&gt;0,J50,0)</f>
        <v>31920</v>
      </c>
      <c r="N50" s="20" t="n">
        <f aca="false">IF(K50&gt;0,I50,0)</f>
        <v>3078</v>
      </c>
    </row>
    <row r="51" customFormat="false" ht="15" hidden="false" customHeight="false" outlineLevel="0" collapsed="false">
      <c r="A51" s="15" t="s">
        <v>212</v>
      </c>
      <c r="B51" s="5" t="s">
        <v>213</v>
      </c>
      <c r="C51" s="5" t="s">
        <v>29</v>
      </c>
      <c r="D51" s="6" t="n">
        <v>112</v>
      </c>
      <c r="E51" s="6" t="n">
        <v>29456</v>
      </c>
      <c r="F51" s="6" t="n">
        <v>280</v>
      </c>
      <c r="G51" s="6" t="n">
        <v>307</v>
      </c>
      <c r="H51" s="8" t="n">
        <f aca="false">G51-F51</f>
        <v>27</v>
      </c>
      <c r="I51" s="8" t="n">
        <f aca="false">D51*H51</f>
        <v>3024</v>
      </c>
      <c r="J51" s="20" t="n">
        <f aca="false">D51*F51</f>
        <v>31360</v>
      </c>
      <c r="K51" s="37" t="n">
        <v>57.2</v>
      </c>
      <c r="L51" s="20" t="n">
        <f aca="false">D51*K51</f>
        <v>6406.4</v>
      </c>
      <c r="M51" s="20" t="n">
        <f aca="false">IF(K51&gt;0,J51,0)</f>
        <v>31360</v>
      </c>
      <c r="N51" s="20" t="n">
        <f aca="false">IF(K51&gt;0,I51,0)</f>
        <v>3024</v>
      </c>
    </row>
    <row r="52" customFormat="false" ht="15" hidden="false" customHeight="false" outlineLevel="0" collapsed="false">
      <c r="A52" s="15" t="s">
        <v>214</v>
      </c>
      <c r="B52" s="5" t="s">
        <v>215</v>
      </c>
      <c r="C52" s="5" t="s">
        <v>29</v>
      </c>
      <c r="D52" s="6" t="n">
        <v>109</v>
      </c>
      <c r="E52" s="6" t="n">
        <v>29240</v>
      </c>
      <c r="F52" s="6" t="n">
        <v>280</v>
      </c>
      <c r="G52" s="6" t="n">
        <v>307</v>
      </c>
      <c r="H52" s="8" t="n">
        <f aca="false">G52-F52</f>
        <v>27</v>
      </c>
      <c r="I52" s="8" t="n">
        <f aca="false">D52*H52</f>
        <v>2943</v>
      </c>
      <c r="J52" s="20" t="n">
        <f aca="false">D52*F52</f>
        <v>30520</v>
      </c>
      <c r="K52" s="37" t="n">
        <v>49.2</v>
      </c>
      <c r="L52" s="20" t="n">
        <f aca="false">D52*K52</f>
        <v>5362.8</v>
      </c>
      <c r="M52" s="20" t="n">
        <f aca="false">IF(K52&gt;0,J52,0)</f>
        <v>30520</v>
      </c>
      <c r="N52" s="20" t="n">
        <f aca="false">IF(K52&gt;0,I52,0)</f>
        <v>2943</v>
      </c>
    </row>
    <row r="53" customFormat="false" ht="15" hidden="false" customHeight="false" outlineLevel="0" collapsed="false">
      <c r="A53" s="15" t="s">
        <v>216</v>
      </c>
      <c r="B53" s="5" t="s">
        <v>217</v>
      </c>
      <c r="C53" s="5" t="s">
        <v>29</v>
      </c>
      <c r="D53" s="6" t="n">
        <v>50</v>
      </c>
      <c r="E53" s="6" t="n">
        <v>29100</v>
      </c>
      <c r="F53" s="6" t="n">
        <v>640</v>
      </c>
      <c r="G53" s="6" t="n">
        <v>640</v>
      </c>
      <c r="H53" s="8" t="n">
        <f aca="false">G53-F53</f>
        <v>0</v>
      </c>
      <c r="I53" s="8" t="n">
        <f aca="false">D53*H53</f>
        <v>0</v>
      </c>
      <c r="J53" s="20" t="n">
        <f aca="false">D53*F53</f>
        <v>32000</v>
      </c>
      <c r="K53" s="37" t="n">
        <v>166.02489027489</v>
      </c>
      <c r="L53" s="20" t="n">
        <f aca="false">D53*K53</f>
        <v>8301.2445137445</v>
      </c>
      <c r="M53" s="20" t="n">
        <f aca="false">IF(K53&gt;0,J53,0)</f>
        <v>32000</v>
      </c>
      <c r="N53" s="20" t="n">
        <f aca="false">IF(K53&gt;0,I53,0)</f>
        <v>0</v>
      </c>
    </row>
    <row r="54" customFormat="false" ht="15" hidden="false" customHeight="false" outlineLevel="0" collapsed="false">
      <c r="A54" s="15" t="s">
        <v>218</v>
      </c>
      <c r="B54" s="5" t="s">
        <v>219</v>
      </c>
      <c r="C54" s="5" t="s">
        <v>29</v>
      </c>
      <c r="D54" s="6" t="n">
        <v>84</v>
      </c>
      <c r="E54" s="6" t="n">
        <v>22960</v>
      </c>
      <c r="F54" s="6" t="n">
        <v>280</v>
      </c>
      <c r="G54" s="6" t="n">
        <v>307</v>
      </c>
      <c r="H54" s="8" t="n">
        <f aca="false">G54-F54</f>
        <v>27</v>
      </c>
      <c r="I54" s="8" t="n">
        <f aca="false">D54*H54</f>
        <v>2268</v>
      </c>
      <c r="J54" s="20" t="n">
        <f aca="false">D54*F54</f>
        <v>23520</v>
      </c>
      <c r="K54" s="37" t="n">
        <v>56.7</v>
      </c>
      <c r="L54" s="20" t="n">
        <f aca="false">D54*K54</f>
        <v>4762.8</v>
      </c>
      <c r="M54" s="20" t="n">
        <f aca="false">IF(K54&gt;0,J54,0)</f>
        <v>23520</v>
      </c>
      <c r="N54" s="20" t="n">
        <f aca="false">IF(K54&gt;0,I54,0)</f>
        <v>2268</v>
      </c>
    </row>
    <row r="55" customFormat="false" ht="15" hidden="false" customHeight="false" outlineLevel="0" collapsed="false">
      <c r="A55" s="15" t="s">
        <v>220</v>
      </c>
      <c r="B55" s="5" t="s">
        <v>221</v>
      </c>
      <c r="C55" s="5" t="s">
        <v>29</v>
      </c>
      <c r="D55" s="6" t="n">
        <v>81</v>
      </c>
      <c r="E55" s="6" t="n">
        <v>21480</v>
      </c>
      <c r="F55" s="6" t="n">
        <v>280</v>
      </c>
      <c r="G55" s="6" t="n">
        <v>307</v>
      </c>
      <c r="H55" s="8" t="n">
        <f aca="false">G55-F55</f>
        <v>27</v>
      </c>
      <c r="I55" s="8" t="n">
        <f aca="false">D55*H55</f>
        <v>2187</v>
      </c>
      <c r="J55" s="20" t="n">
        <f aca="false">D55*F55</f>
        <v>22680</v>
      </c>
      <c r="K55" s="37" t="n">
        <v>31.5</v>
      </c>
      <c r="L55" s="20" t="n">
        <f aca="false">D55*K55</f>
        <v>2551.5</v>
      </c>
      <c r="M55" s="20" t="n">
        <f aca="false">IF(K55&gt;0,J55,0)</f>
        <v>22680</v>
      </c>
      <c r="N55" s="20" t="n">
        <f aca="false">IF(K55&gt;0,I55,0)</f>
        <v>2187</v>
      </c>
    </row>
    <row r="56" customFormat="false" ht="15" hidden="false" customHeight="false" outlineLevel="0" collapsed="false">
      <c r="A56" s="5" t="s">
        <v>222</v>
      </c>
      <c r="B56" s="5" t="s">
        <v>223</v>
      </c>
      <c r="C56" s="5" t="s">
        <v>29</v>
      </c>
      <c r="D56" s="6" t="n">
        <v>75</v>
      </c>
      <c r="E56" s="6" t="n">
        <v>21000</v>
      </c>
      <c r="F56" s="6" t="n">
        <v>280</v>
      </c>
      <c r="G56" s="6" t="n">
        <v>307</v>
      </c>
      <c r="H56" s="8" t="n">
        <f aca="false">G56-F56</f>
        <v>27</v>
      </c>
      <c r="I56" s="8" t="n">
        <f aca="false">D56*H56</f>
        <v>2025</v>
      </c>
      <c r="J56" s="20" t="n">
        <f aca="false">D56*F56</f>
        <v>21000</v>
      </c>
      <c r="K56" s="37" t="n">
        <v>61.5</v>
      </c>
      <c r="L56" s="20" t="n">
        <f aca="false">D56*K56</f>
        <v>4612.5</v>
      </c>
      <c r="M56" s="20" t="n">
        <f aca="false">IF(K56&gt;0,J56,0)</f>
        <v>21000</v>
      </c>
      <c r="N56" s="20" t="n">
        <f aca="false">IF(K56&gt;0,I56,0)</f>
        <v>2025</v>
      </c>
    </row>
    <row r="57" customFormat="false" ht="15" hidden="false" customHeight="false" outlineLevel="0" collapsed="false">
      <c r="A57" s="15" t="s">
        <v>224</v>
      </c>
      <c r="B57" s="5" t="s">
        <v>225</v>
      </c>
      <c r="C57" s="5" t="s">
        <v>29</v>
      </c>
      <c r="D57" s="6" t="n">
        <v>71</v>
      </c>
      <c r="E57" s="6" t="n">
        <v>18888</v>
      </c>
      <c r="F57" s="6" t="n">
        <v>280</v>
      </c>
      <c r="G57" s="6" t="n">
        <v>307</v>
      </c>
      <c r="H57" s="8" t="n">
        <f aca="false">G57-F57</f>
        <v>27</v>
      </c>
      <c r="I57" s="8" t="n">
        <f aca="false">D57*H57</f>
        <v>1917</v>
      </c>
      <c r="J57" s="20" t="n">
        <f aca="false">D57*F57</f>
        <v>19880</v>
      </c>
      <c r="K57" s="37" t="n">
        <v>40.4</v>
      </c>
      <c r="L57" s="20" t="n">
        <f aca="false">D57*K57</f>
        <v>2868.4</v>
      </c>
      <c r="M57" s="20" t="n">
        <f aca="false">IF(K57&gt;0,J57,0)</f>
        <v>19880</v>
      </c>
      <c r="N57" s="20" t="n">
        <f aca="false">IF(K57&gt;0,I57,0)</f>
        <v>1917</v>
      </c>
    </row>
    <row r="58" customFormat="false" ht="15" hidden="false" customHeight="false" outlineLevel="0" collapsed="false">
      <c r="A58" s="15" t="s">
        <v>226</v>
      </c>
      <c r="B58" s="5" t="s">
        <v>227</v>
      </c>
      <c r="C58" s="5" t="s">
        <v>29</v>
      </c>
      <c r="D58" s="6" t="n">
        <v>69</v>
      </c>
      <c r="E58" s="6" t="n">
        <v>18440</v>
      </c>
      <c r="F58" s="6" t="n">
        <v>280</v>
      </c>
      <c r="G58" s="6" t="n">
        <v>307</v>
      </c>
      <c r="H58" s="8" t="n">
        <f aca="false">G58-F58</f>
        <v>27</v>
      </c>
      <c r="I58" s="8" t="n">
        <f aca="false">D58*H58</f>
        <v>1863</v>
      </c>
      <c r="J58" s="20" t="n">
        <f aca="false">D58*F58</f>
        <v>19320</v>
      </c>
      <c r="K58" s="37" t="n">
        <v>49</v>
      </c>
      <c r="L58" s="20" t="n">
        <f aca="false">D58*K58</f>
        <v>3381</v>
      </c>
      <c r="M58" s="20" t="n">
        <f aca="false">IF(K58&gt;0,J58,0)</f>
        <v>19320</v>
      </c>
      <c r="N58" s="20" t="n">
        <f aca="false">IF(K58&gt;0,I58,0)</f>
        <v>1863</v>
      </c>
    </row>
    <row r="59" customFormat="false" ht="15" hidden="false" customHeight="false" outlineLevel="0" collapsed="false">
      <c r="A59" s="15" t="s">
        <v>228</v>
      </c>
      <c r="B59" s="5" t="s">
        <v>229</v>
      </c>
      <c r="C59" s="5" t="s">
        <v>29</v>
      </c>
      <c r="D59" s="6" t="n">
        <v>35</v>
      </c>
      <c r="E59" s="6" t="n">
        <v>16800</v>
      </c>
      <c r="F59" s="6" t="n">
        <v>480</v>
      </c>
      <c r="G59" s="6" t="n">
        <v>507</v>
      </c>
      <c r="H59" s="8" t="n">
        <f aca="false">G59-F59</f>
        <v>27</v>
      </c>
      <c r="I59" s="8" t="n">
        <f aca="false">D59*H59</f>
        <v>945</v>
      </c>
      <c r="J59" s="20" t="n">
        <f aca="false">D59*F59</f>
        <v>16800</v>
      </c>
      <c r="K59" s="37" t="n">
        <v>121.2</v>
      </c>
      <c r="L59" s="20" t="n">
        <f aca="false">D59*K59</f>
        <v>4242</v>
      </c>
      <c r="M59" s="20" t="n">
        <f aca="false">IF(K59&gt;0,J59,0)</f>
        <v>16800</v>
      </c>
      <c r="N59" s="20" t="n">
        <f aca="false">IF(K59&gt;0,I59,0)</f>
        <v>945</v>
      </c>
    </row>
    <row r="60" customFormat="false" ht="15" hidden="false" customHeight="false" outlineLevel="0" collapsed="false">
      <c r="A60" s="15" t="s">
        <v>230</v>
      </c>
      <c r="B60" s="5" t="s">
        <v>231</v>
      </c>
      <c r="C60" s="5" t="s">
        <v>29</v>
      </c>
      <c r="D60" s="6" t="n">
        <v>56</v>
      </c>
      <c r="E60" s="6" t="n">
        <v>15200</v>
      </c>
      <c r="F60" s="6" t="n">
        <v>280</v>
      </c>
      <c r="G60" s="6" t="n">
        <v>307</v>
      </c>
      <c r="H60" s="8" t="n">
        <f aca="false">G60-F60</f>
        <v>27</v>
      </c>
      <c r="I60" s="8" t="n">
        <f aca="false">D60*H60</f>
        <v>1512</v>
      </c>
      <c r="J60" s="20" t="n">
        <f aca="false">D60*F60</f>
        <v>15680</v>
      </c>
      <c r="K60" s="37" t="n">
        <v>57.2</v>
      </c>
      <c r="L60" s="20" t="n">
        <f aca="false">D60*K60</f>
        <v>3203.2</v>
      </c>
      <c r="M60" s="20" t="n">
        <f aca="false">IF(K60&gt;0,J60,0)</f>
        <v>15680</v>
      </c>
      <c r="N60" s="20" t="n">
        <f aca="false">IF(K60&gt;0,I60,0)</f>
        <v>1512</v>
      </c>
    </row>
    <row r="61" customFormat="false" ht="15" hidden="false" customHeight="false" outlineLevel="0" collapsed="false">
      <c r="A61" s="5" t="s">
        <v>232</v>
      </c>
      <c r="B61" s="5" t="s">
        <v>232</v>
      </c>
      <c r="C61" s="5" t="s">
        <v>29</v>
      </c>
      <c r="D61" s="6" t="n">
        <v>30</v>
      </c>
      <c r="E61" s="6" t="n">
        <v>14400</v>
      </c>
      <c r="F61" s="6" t="n">
        <v>480</v>
      </c>
      <c r="G61" s="6" t="n">
        <v>480</v>
      </c>
      <c r="H61" s="8" t="n">
        <f aca="false">G61-F61</f>
        <v>0</v>
      </c>
      <c r="I61" s="8" t="n">
        <f aca="false">D61*H61</f>
        <v>0</v>
      </c>
      <c r="J61" s="20" t="n">
        <f aca="false">D61*F61</f>
        <v>14400</v>
      </c>
      <c r="K61" s="37" t="n">
        <v>130.7</v>
      </c>
      <c r="L61" s="20" t="n">
        <f aca="false">D61*K61</f>
        <v>3921</v>
      </c>
      <c r="M61" s="20" t="n">
        <f aca="false">IF(K61&gt;0,J61,0)</f>
        <v>14400</v>
      </c>
      <c r="N61" s="20" t="n">
        <f aca="false">IF(K61&gt;0,I61,0)</f>
        <v>0</v>
      </c>
    </row>
    <row r="62" customFormat="false" ht="15" hidden="false" customHeight="false" outlineLevel="0" collapsed="false">
      <c r="A62" s="15" t="s">
        <v>233</v>
      </c>
      <c r="B62" s="5" t="s">
        <v>234</v>
      </c>
      <c r="C62" s="5" t="s">
        <v>29</v>
      </c>
      <c r="D62" s="6" t="n">
        <v>26</v>
      </c>
      <c r="E62" s="6" t="n">
        <v>12481</v>
      </c>
      <c r="F62" s="6" t="n">
        <v>480</v>
      </c>
      <c r="G62" s="6" t="n">
        <v>507</v>
      </c>
      <c r="H62" s="8" t="n">
        <f aca="false">G62-F62</f>
        <v>27</v>
      </c>
      <c r="I62" s="8" t="n">
        <f aca="false">D62*H62</f>
        <v>702</v>
      </c>
      <c r="J62" s="20" t="n">
        <f aca="false">D62*F62</f>
        <v>12480</v>
      </c>
      <c r="K62" s="37" t="n">
        <v>121</v>
      </c>
      <c r="L62" s="20" t="n">
        <f aca="false">D62*K62</f>
        <v>3146</v>
      </c>
      <c r="M62" s="20" t="n">
        <f aca="false">IF(K62&gt;0,J62,0)</f>
        <v>12480</v>
      </c>
      <c r="N62" s="20" t="n">
        <f aca="false">IF(K62&gt;0,I62,0)</f>
        <v>702</v>
      </c>
    </row>
    <row r="63" customFormat="false" ht="15" hidden="false" customHeight="false" outlineLevel="0" collapsed="false">
      <c r="A63" s="15" t="s">
        <v>235</v>
      </c>
      <c r="B63" s="5" t="s">
        <v>236</v>
      </c>
      <c r="C63" s="5" t="s">
        <v>29</v>
      </c>
      <c r="D63" s="6" t="n">
        <v>25</v>
      </c>
      <c r="E63" s="6" t="n">
        <v>12000</v>
      </c>
      <c r="F63" s="6" t="n">
        <v>480</v>
      </c>
      <c r="G63" s="6" t="n">
        <v>507</v>
      </c>
      <c r="H63" s="8" t="n">
        <f aca="false">G63-F63</f>
        <v>27</v>
      </c>
      <c r="I63" s="8" t="n">
        <f aca="false">D63*H63</f>
        <v>675</v>
      </c>
      <c r="J63" s="20" t="n">
        <f aca="false">D63*F63</f>
        <v>12000</v>
      </c>
      <c r="K63" s="37" t="n">
        <v>133.5</v>
      </c>
      <c r="L63" s="20" t="n">
        <f aca="false">D63*K63</f>
        <v>3337.5</v>
      </c>
      <c r="M63" s="20" t="n">
        <f aca="false">IF(K63&gt;0,J63,0)</f>
        <v>12000</v>
      </c>
      <c r="N63" s="20" t="n">
        <f aca="false">IF(K63&gt;0,I63,0)</f>
        <v>675</v>
      </c>
    </row>
    <row r="64" customFormat="false" ht="15" hidden="false" customHeight="false" outlineLevel="0" collapsed="false">
      <c r="A64" s="15" t="s">
        <v>237</v>
      </c>
      <c r="B64" s="5" t="s">
        <v>238</v>
      </c>
      <c r="C64" s="5" t="s">
        <v>29</v>
      </c>
      <c r="D64" s="6" t="n">
        <v>37</v>
      </c>
      <c r="E64" s="6" t="n">
        <v>9280</v>
      </c>
      <c r="F64" s="6" t="n">
        <v>280</v>
      </c>
      <c r="G64" s="6" t="n">
        <v>307</v>
      </c>
      <c r="H64" s="8" t="n">
        <f aca="false">G64-F64</f>
        <v>27</v>
      </c>
      <c r="I64" s="8" t="n">
        <f aca="false">D64*H64</f>
        <v>999</v>
      </c>
      <c r="J64" s="20" t="n">
        <f aca="false">D64*F64</f>
        <v>10360</v>
      </c>
      <c r="K64" s="37" t="n">
        <v>62.8</v>
      </c>
      <c r="L64" s="20" t="n">
        <f aca="false">D64*K64</f>
        <v>2323.6</v>
      </c>
      <c r="M64" s="20" t="n">
        <f aca="false">IF(K64&gt;0,J64,0)</f>
        <v>10360</v>
      </c>
      <c r="N64" s="20" t="n">
        <f aca="false">IF(K64&gt;0,I64,0)</f>
        <v>999</v>
      </c>
    </row>
    <row r="65" customFormat="false" ht="15" hidden="false" customHeight="false" outlineLevel="0" collapsed="false">
      <c r="A65" s="15" t="s">
        <v>239</v>
      </c>
      <c r="B65" s="5" t="s">
        <v>240</v>
      </c>
      <c r="C65" s="5" t="s">
        <v>29</v>
      </c>
      <c r="D65" s="6" t="n">
        <v>9</v>
      </c>
      <c r="E65" s="6" t="n">
        <v>4320</v>
      </c>
      <c r="F65" s="6" t="n">
        <v>480</v>
      </c>
      <c r="G65" s="6" t="n">
        <v>507</v>
      </c>
      <c r="H65" s="8" t="n">
        <f aca="false">G65-F65</f>
        <v>27</v>
      </c>
      <c r="I65" s="8" t="n">
        <f aca="false">D65*H65</f>
        <v>243</v>
      </c>
      <c r="J65" s="20" t="n">
        <f aca="false">D65*F65</f>
        <v>4320</v>
      </c>
      <c r="K65" s="37" t="n">
        <v>134.8</v>
      </c>
      <c r="L65" s="20" t="n">
        <f aca="false">D65*K65</f>
        <v>1213.2</v>
      </c>
      <c r="M65" s="20" t="n">
        <f aca="false">IF(K65&gt;0,J65,0)</f>
        <v>4320</v>
      </c>
      <c r="N65" s="20" t="n">
        <f aca="false">IF(K65&gt;0,I65,0)</f>
        <v>243</v>
      </c>
    </row>
    <row r="66" customFormat="false" ht="15" hidden="false" customHeight="false" outlineLevel="0" collapsed="false">
      <c r="A66" s="15" t="s">
        <v>241</v>
      </c>
      <c r="B66" s="5" t="s">
        <v>242</v>
      </c>
      <c r="C66" s="5" t="s">
        <v>30</v>
      </c>
      <c r="D66" s="6" t="n">
        <v>677</v>
      </c>
      <c r="E66" s="6" t="n">
        <v>662681</v>
      </c>
      <c r="F66" s="6" t="n">
        <v>980</v>
      </c>
      <c r="G66" s="6" t="n">
        <v>1025</v>
      </c>
      <c r="H66" s="8" t="n">
        <f aca="false">G66-F66</f>
        <v>45</v>
      </c>
      <c r="I66" s="8" t="n">
        <f aca="false">D66*H66</f>
        <v>30465</v>
      </c>
      <c r="J66" s="20" t="n">
        <f aca="false">D66*F66</f>
        <v>663460</v>
      </c>
      <c r="K66" s="37" t="n">
        <v>338.2</v>
      </c>
      <c r="L66" s="20" t="n">
        <f aca="false">D66*K66</f>
        <v>228961.4</v>
      </c>
      <c r="M66" s="20" t="n">
        <f aca="false">IF(K66&gt;0,J66,0)</f>
        <v>663460</v>
      </c>
      <c r="N66" s="20" t="n">
        <f aca="false">IF(K66&gt;0,I66,0)</f>
        <v>30465</v>
      </c>
    </row>
    <row r="67" customFormat="false" ht="15" hidden="false" customHeight="false" outlineLevel="0" collapsed="false">
      <c r="A67" s="15" t="s">
        <v>243</v>
      </c>
      <c r="B67" s="5" t="s">
        <v>244</v>
      </c>
      <c r="C67" s="5" t="s">
        <v>30</v>
      </c>
      <c r="D67" s="6" t="n">
        <v>204</v>
      </c>
      <c r="E67" s="6" t="n">
        <v>261133</v>
      </c>
      <c r="F67" s="6" t="n">
        <v>1280</v>
      </c>
      <c r="G67" s="6" t="n">
        <v>1325</v>
      </c>
      <c r="H67" s="8" t="n">
        <f aca="false">G67-F67</f>
        <v>45</v>
      </c>
      <c r="I67" s="8" t="n">
        <f aca="false">D67*H67</f>
        <v>9180</v>
      </c>
      <c r="J67" s="20" t="n">
        <f aca="false">D67*F67</f>
        <v>261120</v>
      </c>
      <c r="K67" s="37" t="n">
        <v>414.2</v>
      </c>
      <c r="L67" s="20" t="n">
        <f aca="false">D67*K67</f>
        <v>84496.8</v>
      </c>
      <c r="M67" s="20" t="n">
        <f aca="false">IF(K67&gt;0,J67,0)</f>
        <v>261120</v>
      </c>
      <c r="N67" s="20" t="n">
        <f aca="false">IF(K67&gt;0,I67,0)</f>
        <v>9180</v>
      </c>
    </row>
    <row r="68" customFormat="false" ht="15" hidden="false" customHeight="false" outlineLevel="0" collapsed="false">
      <c r="A68" s="15" t="s">
        <v>245</v>
      </c>
      <c r="B68" s="5" t="s">
        <v>246</v>
      </c>
      <c r="C68" s="5" t="s">
        <v>30</v>
      </c>
      <c r="D68" s="6" t="n">
        <v>178</v>
      </c>
      <c r="E68" s="6" t="n">
        <v>174441</v>
      </c>
      <c r="F68" s="6" t="n">
        <v>980</v>
      </c>
      <c r="G68" s="6" t="n">
        <v>1025</v>
      </c>
      <c r="H68" s="8" t="n">
        <f aca="false">G68-F68</f>
        <v>45</v>
      </c>
      <c r="I68" s="8" t="n">
        <f aca="false">D68*H68</f>
        <v>8010</v>
      </c>
      <c r="J68" s="20" t="n">
        <f aca="false">D68*F68</f>
        <v>174440</v>
      </c>
      <c r="K68" s="37" t="n">
        <v>360.2</v>
      </c>
      <c r="L68" s="20" t="n">
        <f aca="false">D68*K68</f>
        <v>64115.6</v>
      </c>
      <c r="M68" s="20" t="n">
        <f aca="false">IF(K68&gt;0,J68,0)</f>
        <v>174440</v>
      </c>
      <c r="N68" s="20" t="n">
        <f aca="false">IF(K68&gt;0,I68,0)</f>
        <v>8010</v>
      </c>
    </row>
    <row r="69" customFormat="false" ht="15" hidden="false" customHeight="false" outlineLevel="0" collapsed="false">
      <c r="A69" s="15" t="s">
        <v>247</v>
      </c>
      <c r="B69" s="5" t="s">
        <v>248</v>
      </c>
      <c r="C69" s="5" t="s">
        <v>30</v>
      </c>
      <c r="D69" s="6" t="n">
        <v>101</v>
      </c>
      <c r="E69" s="6" t="n">
        <v>128770</v>
      </c>
      <c r="F69" s="6" t="n">
        <v>1280</v>
      </c>
      <c r="G69" s="6" t="n">
        <v>1325</v>
      </c>
      <c r="H69" s="8" t="n">
        <f aca="false">G69-F69</f>
        <v>45</v>
      </c>
      <c r="I69" s="8" t="n">
        <f aca="false">D69*H69</f>
        <v>4545</v>
      </c>
      <c r="J69" s="20" t="n">
        <f aca="false">D69*F69</f>
        <v>129280</v>
      </c>
      <c r="K69" s="37" t="n">
        <v>235.3</v>
      </c>
      <c r="L69" s="20" t="n">
        <f aca="false">D69*K69</f>
        <v>23765.3</v>
      </c>
      <c r="M69" s="20" t="n">
        <f aca="false">IF(K69&gt;0,J69,0)</f>
        <v>129280</v>
      </c>
      <c r="N69" s="20" t="n">
        <f aca="false">IF(K69&gt;0,I69,0)</f>
        <v>4545</v>
      </c>
    </row>
    <row r="70" customFormat="false" ht="15" hidden="false" customHeight="false" outlineLevel="0" collapsed="false">
      <c r="A70" s="15" t="s">
        <v>249</v>
      </c>
      <c r="B70" s="5" t="s">
        <v>250</v>
      </c>
      <c r="C70" s="5" t="s">
        <v>30</v>
      </c>
      <c r="D70" s="6" t="n">
        <v>128</v>
      </c>
      <c r="E70" s="6" t="n">
        <v>125441</v>
      </c>
      <c r="F70" s="6" t="n">
        <v>980</v>
      </c>
      <c r="G70" s="6" t="n">
        <v>1025</v>
      </c>
      <c r="H70" s="8" t="n">
        <f aca="false">G70-F70</f>
        <v>45</v>
      </c>
      <c r="I70" s="8" t="n">
        <f aca="false">D70*H70</f>
        <v>5760</v>
      </c>
      <c r="J70" s="20" t="n">
        <f aca="false">D70*F70</f>
        <v>125440</v>
      </c>
      <c r="K70" s="37" t="n">
        <v>324.3</v>
      </c>
      <c r="L70" s="20" t="n">
        <f aca="false">D70*K70</f>
        <v>41510.4</v>
      </c>
      <c r="M70" s="20" t="n">
        <f aca="false">IF(K70&gt;0,J70,0)</f>
        <v>125440</v>
      </c>
      <c r="N70" s="20" t="n">
        <f aca="false">IF(K70&gt;0,I70,0)</f>
        <v>5760</v>
      </c>
    </row>
    <row r="71" customFormat="false" ht="15" hidden="false" customHeight="false" outlineLevel="0" collapsed="false">
      <c r="A71" s="15" t="s">
        <v>251</v>
      </c>
      <c r="B71" s="5" t="s">
        <v>252</v>
      </c>
      <c r="C71" s="5" t="s">
        <v>30</v>
      </c>
      <c r="D71" s="6" t="n">
        <v>84</v>
      </c>
      <c r="E71" s="6" t="n">
        <v>115374</v>
      </c>
      <c r="F71" s="6" t="n">
        <v>1380</v>
      </c>
      <c r="G71" s="6" t="n">
        <v>1425</v>
      </c>
      <c r="H71" s="8" t="n">
        <f aca="false">G71-F71</f>
        <v>45</v>
      </c>
      <c r="I71" s="8" t="n">
        <f aca="false">D71*H71</f>
        <v>3780</v>
      </c>
      <c r="J71" s="20" t="n">
        <f aca="false">D71*F71</f>
        <v>115920</v>
      </c>
      <c r="K71" s="37" t="n">
        <v>227.8</v>
      </c>
      <c r="L71" s="20" t="n">
        <f aca="false">D71*K71</f>
        <v>19135.2</v>
      </c>
      <c r="M71" s="20" t="n">
        <f aca="false">IF(K71&gt;0,J71,0)</f>
        <v>115920</v>
      </c>
      <c r="N71" s="20" t="n">
        <f aca="false">IF(K71&gt;0,I71,0)</f>
        <v>3780</v>
      </c>
    </row>
    <row r="72" customFormat="false" ht="15" hidden="false" customHeight="false" outlineLevel="0" collapsed="false">
      <c r="A72" s="15" t="s">
        <v>253</v>
      </c>
      <c r="B72" s="5" t="s">
        <v>254</v>
      </c>
      <c r="C72" s="5" t="s">
        <v>30</v>
      </c>
      <c r="D72" s="6" t="n">
        <v>78</v>
      </c>
      <c r="E72" s="6" t="n">
        <v>107640</v>
      </c>
      <c r="F72" s="6" t="n">
        <v>1380</v>
      </c>
      <c r="G72" s="6" t="n">
        <v>1425</v>
      </c>
      <c r="H72" s="8" t="n">
        <f aca="false">G72-F72</f>
        <v>45</v>
      </c>
      <c r="I72" s="8" t="n">
        <f aca="false">D72*H72</f>
        <v>3510</v>
      </c>
      <c r="J72" s="20" t="n">
        <f aca="false">D72*F72</f>
        <v>107640</v>
      </c>
      <c r="K72" s="37" t="n">
        <v>372.9</v>
      </c>
      <c r="L72" s="20" t="n">
        <f aca="false">D72*K72</f>
        <v>29086.2</v>
      </c>
      <c r="M72" s="20" t="n">
        <f aca="false">IF(K72&gt;0,J72,0)</f>
        <v>107640</v>
      </c>
      <c r="N72" s="20" t="n">
        <f aca="false">IF(K72&gt;0,I72,0)</f>
        <v>3510</v>
      </c>
    </row>
    <row r="73" customFormat="false" ht="15" hidden="false" customHeight="false" outlineLevel="0" collapsed="false">
      <c r="A73" s="15" t="s">
        <v>255</v>
      </c>
      <c r="B73" s="5" t="s">
        <v>256</v>
      </c>
      <c r="C73" s="5" t="s">
        <v>30</v>
      </c>
      <c r="D73" s="6" t="n">
        <v>121</v>
      </c>
      <c r="E73" s="6" t="n">
        <v>94071</v>
      </c>
      <c r="F73" s="6" t="n">
        <v>780</v>
      </c>
      <c r="G73" s="6" t="n">
        <v>807</v>
      </c>
      <c r="H73" s="8" t="n">
        <f aca="false">G73-F73</f>
        <v>27</v>
      </c>
      <c r="I73" s="8" t="n">
        <f aca="false">D73*H73</f>
        <v>3267</v>
      </c>
      <c r="J73" s="20" t="n">
        <f aca="false">D73*F73</f>
        <v>94380</v>
      </c>
      <c r="K73" s="37" t="n">
        <v>91.4</v>
      </c>
      <c r="L73" s="20" t="n">
        <f aca="false">D73*K73</f>
        <v>11059.4</v>
      </c>
      <c r="M73" s="20" t="n">
        <f aca="false">IF(K73&gt;0,J73,0)</f>
        <v>94380</v>
      </c>
      <c r="N73" s="20" t="n">
        <f aca="false">IF(K73&gt;0,I73,0)</f>
        <v>3267</v>
      </c>
    </row>
    <row r="74" customFormat="false" ht="15" hidden="false" customHeight="false" outlineLevel="0" collapsed="false">
      <c r="A74" s="15" t="s">
        <v>257</v>
      </c>
      <c r="B74" s="15" t="s">
        <v>258</v>
      </c>
      <c r="C74" s="5" t="s">
        <v>30</v>
      </c>
      <c r="D74" s="6" t="n">
        <v>51</v>
      </c>
      <c r="E74" s="6" t="n">
        <v>46686</v>
      </c>
      <c r="F74" s="6" t="n">
        <v>980</v>
      </c>
      <c r="G74" s="6" t="n">
        <v>1025</v>
      </c>
      <c r="H74" s="8" t="n">
        <f aca="false">G74-F74</f>
        <v>45</v>
      </c>
      <c r="I74" s="8" t="n">
        <f aca="false">D74*H74</f>
        <v>2295</v>
      </c>
      <c r="J74" s="20" t="n">
        <f aca="false">D74*F74</f>
        <v>49980</v>
      </c>
      <c r="K74" s="37" t="n">
        <v>171</v>
      </c>
      <c r="L74" s="20" t="n">
        <f aca="false">D74*K74</f>
        <v>8721</v>
      </c>
      <c r="M74" s="20" t="n">
        <f aca="false">IF(K74&gt;0,J74,0)</f>
        <v>49980</v>
      </c>
      <c r="N74" s="20" t="n">
        <f aca="false">IF(K74&gt;0,I74,0)</f>
        <v>2295</v>
      </c>
    </row>
    <row r="75" customFormat="false" ht="15" hidden="false" customHeight="false" outlineLevel="0" collapsed="false">
      <c r="A75" s="15" t="s">
        <v>259</v>
      </c>
      <c r="B75" s="15" t="s">
        <v>260</v>
      </c>
      <c r="C75" s="5" t="s">
        <v>30</v>
      </c>
      <c r="D75" s="6" t="n">
        <v>24</v>
      </c>
      <c r="E75" s="6" t="n">
        <v>24721</v>
      </c>
      <c r="F75" s="6" t="n">
        <v>1030</v>
      </c>
      <c r="G75" s="6" t="n">
        <v>1080</v>
      </c>
      <c r="H75" s="8" t="n">
        <f aca="false">G75-F75</f>
        <v>50</v>
      </c>
      <c r="I75" s="8" t="n">
        <f aca="false">D75*H75</f>
        <v>1200</v>
      </c>
      <c r="J75" s="20" t="n">
        <f aca="false">D75*F75</f>
        <v>24720</v>
      </c>
      <c r="K75" s="37" t="n">
        <v>309.1</v>
      </c>
      <c r="L75" s="20" t="n">
        <f aca="false">D75*K75</f>
        <v>7418.4</v>
      </c>
      <c r="M75" s="20" t="n">
        <f aca="false">IF(K75&gt;0,J75,0)</f>
        <v>24720</v>
      </c>
      <c r="N75" s="20" t="n">
        <f aca="false">IF(K75&gt;0,I75,0)</f>
        <v>1200</v>
      </c>
    </row>
    <row r="76" customFormat="false" ht="15" hidden="false" customHeight="false" outlineLevel="0" collapsed="false">
      <c r="A76" s="15" t="s">
        <v>261</v>
      </c>
      <c r="B76" s="15" t="s">
        <v>260</v>
      </c>
      <c r="C76" s="5" t="s">
        <v>30</v>
      </c>
      <c r="D76" s="6" t="n">
        <v>2</v>
      </c>
      <c r="E76" s="6" t="n">
        <v>2060</v>
      </c>
      <c r="F76" s="6" t="n">
        <v>1030</v>
      </c>
      <c r="G76" s="6" t="n">
        <v>1080</v>
      </c>
      <c r="H76" s="8" t="n">
        <f aca="false">G76-F76</f>
        <v>50</v>
      </c>
      <c r="I76" s="8" t="n">
        <f aca="false">D76*H76</f>
        <v>100</v>
      </c>
      <c r="J76" s="20" t="n">
        <f aca="false">D76*F76</f>
        <v>2060</v>
      </c>
      <c r="K76" s="37" t="n">
        <v>309.1</v>
      </c>
      <c r="L76" s="20" t="n">
        <f aca="false">D76*K76</f>
        <v>618.2</v>
      </c>
      <c r="M76" s="20" t="n">
        <f aca="false">IF(K76&gt;0,J76,0)</f>
        <v>2060</v>
      </c>
      <c r="N76" s="20" t="n">
        <f aca="false">IF(K76&gt;0,I76,0)</f>
        <v>100</v>
      </c>
    </row>
    <row r="77" customFormat="false" ht="15" hidden="false" customHeight="false" outlineLevel="0" collapsed="false">
      <c r="A77" s="5" t="s">
        <v>262</v>
      </c>
      <c r="B77" s="5" t="s">
        <v>263</v>
      </c>
      <c r="C77" s="5" t="s">
        <v>31</v>
      </c>
      <c r="D77" s="6" t="n">
        <v>843</v>
      </c>
      <c r="E77" s="6" t="n">
        <v>1160663</v>
      </c>
      <c r="F77" s="6" t="n">
        <v>1380</v>
      </c>
      <c r="G77" s="6" t="n">
        <v>1407</v>
      </c>
      <c r="H77" s="8" t="n">
        <f aca="false">G77-F77</f>
        <v>27</v>
      </c>
      <c r="I77" s="8" t="n">
        <f aca="false">D77*H77</f>
        <v>22761</v>
      </c>
      <c r="J77" s="20" t="n">
        <f aca="false">D77*F77</f>
        <v>1163340</v>
      </c>
      <c r="K77" s="37" t="n">
        <v>492.4</v>
      </c>
      <c r="L77" s="20" t="n">
        <f aca="false">D77*K77</f>
        <v>415093.2</v>
      </c>
      <c r="M77" s="20" t="n">
        <f aca="false">IF(K77&gt;0,J77,0)</f>
        <v>1163340</v>
      </c>
      <c r="N77" s="20" t="n">
        <f aca="false">IF(K77&gt;0,I77,0)</f>
        <v>22761</v>
      </c>
    </row>
    <row r="78" customFormat="false" ht="15" hidden="false" customHeight="false" outlineLevel="0" collapsed="false">
      <c r="A78" s="5" t="s">
        <v>264</v>
      </c>
      <c r="B78" s="5" t="s">
        <v>265</v>
      </c>
      <c r="C78" s="5" t="s">
        <v>31</v>
      </c>
      <c r="D78" s="6" t="n">
        <v>338</v>
      </c>
      <c r="E78" s="6" t="n">
        <v>430098</v>
      </c>
      <c r="F78" s="6" t="n">
        <v>1280</v>
      </c>
      <c r="G78" s="6" t="n">
        <v>1325</v>
      </c>
      <c r="H78" s="8" t="n">
        <f aca="false">G78-F78</f>
        <v>45</v>
      </c>
      <c r="I78" s="8" t="n">
        <f aca="false">D78*H78</f>
        <v>15210</v>
      </c>
      <c r="J78" s="20" t="n">
        <f aca="false">D78*F78</f>
        <v>432640</v>
      </c>
      <c r="K78" s="37" t="n">
        <v>343.7</v>
      </c>
      <c r="L78" s="20" t="n">
        <f aca="false">D78*K78</f>
        <v>116170.6</v>
      </c>
      <c r="M78" s="20" t="n">
        <f aca="false">IF(K78&gt;0,J78,0)</f>
        <v>432640</v>
      </c>
      <c r="N78" s="20" t="n">
        <f aca="false">IF(K78&gt;0,I78,0)</f>
        <v>15210</v>
      </c>
    </row>
    <row r="79" customFormat="false" ht="15" hidden="false" customHeight="false" outlineLevel="0" collapsed="false">
      <c r="A79" s="5" t="s">
        <v>266</v>
      </c>
      <c r="B79" s="5" t="s">
        <v>266</v>
      </c>
      <c r="C79" s="5" t="s">
        <v>31</v>
      </c>
      <c r="D79" s="6" t="n">
        <v>336</v>
      </c>
      <c r="E79" s="6" t="n">
        <v>362451</v>
      </c>
      <c r="F79" s="6" t="n">
        <v>1080</v>
      </c>
      <c r="G79" s="6" t="n">
        <v>1107</v>
      </c>
      <c r="H79" s="8" t="n">
        <f aca="false">G79-F79</f>
        <v>27</v>
      </c>
      <c r="I79" s="8" t="n">
        <f aca="false">D79*H79</f>
        <v>9072</v>
      </c>
      <c r="J79" s="20" t="n">
        <f aca="false">D79*F79</f>
        <v>362880</v>
      </c>
      <c r="K79" s="37" t="n">
        <v>360</v>
      </c>
      <c r="L79" s="20" t="n">
        <f aca="false">D79*K79</f>
        <v>120960</v>
      </c>
      <c r="M79" s="20" t="n">
        <f aca="false">IF(K79&gt;0,J79,0)</f>
        <v>362880</v>
      </c>
      <c r="N79" s="20" t="n">
        <f aca="false">IF(K79&gt;0,I79,0)</f>
        <v>9072</v>
      </c>
    </row>
    <row r="80" customFormat="false" ht="15" hidden="false" customHeight="false" outlineLevel="0" collapsed="false">
      <c r="A80" s="5" t="s">
        <v>267</v>
      </c>
      <c r="B80" s="5" t="s">
        <v>268</v>
      </c>
      <c r="C80" s="5" t="s">
        <v>31</v>
      </c>
      <c r="D80" s="6" t="n">
        <v>217</v>
      </c>
      <c r="E80" s="6" t="n">
        <v>297827</v>
      </c>
      <c r="F80" s="6" t="n">
        <v>1380</v>
      </c>
      <c r="G80" s="6" t="n">
        <v>1425</v>
      </c>
      <c r="H80" s="8" t="n">
        <f aca="false">G80-F80</f>
        <v>45</v>
      </c>
      <c r="I80" s="8" t="n">
        <f aca="false">D80*H80</f>
        <v>9765</v>
      </c>
      <c r="J80" s="20" t="n">
        <f aca="false">D80*F80</f>
        <v>299460</v>
      </c>
      <c r="K80" s="37" t="n">
        <v>576.88</v>
      </c>
      <c r="L80" s="20" t="n">
        <f aca="false">D80*K80</f>
        <v>125182.96</v>
      </c>
      <c r="M80" s="20" t="n">
        <f aca="false">IF(K80&gt;0,J80,0)</f>
        <v>299460</v>
      </c>
      <c r="N80" s="20" t="n">
        <f aca="false">IF(K80&gt;0,I80,0)</f>
        <v>9765</v>
      </c>
    </row>
    <row r="81" customFormat="false" ht="15" hidden="false" customHeight="false" outlineLevel="0" collapsed="false">
      <c r="A81" s="15" t="s">
        <v>269</v>
      </c>
      <c r="B81" s="15" t="s">
        <v>270</v>
      </c>
      <c r="C81" s="5" t="s">
        <v>31</v>
      </c>
      <c r="D81" s="6" t="n">
        <v>184</v>
      </c>
      <c r="E81" s="6" t="n">
        <v>171125</v>
      </c>
      <c r="F81" s="6" t="n">
        <v>980</v>
      </c>
      <c r="G81" s="6" t="n">
        <v>1007</v>
      </c>
      <c r="H81" s="8" t="n">
        <f aca="false">G81-F81</f>
        <v>27</v>
      </c>
      <c r="I81" s="8" t="n">
        <f aca="false">D81*H81</f>
        <v>4968</v>
      </c>
      <c r="J81" s="20" t="n">
        <f aca="false">D81*F81</f>
        <v>180320</v>
      </c>
      <c r="K81" s="37" t="n">
        <v>215.3</v>
      </c>
      <c r="L81" s="20" t="n">
        <f aca="false">D81*K81</f>
        <v>39615.2</v>
      </c>
      <c r="M81" s="20" t="n">
        <f aca="false">IF(K81&gt;0,J81,0)</f>
        <v>180320</v>
      </c>
      <c r="N81" s="20" t="n">
        <f aca="false">IF(K81&gt;0,I81,0)</f>
        <v>4968</v>
      </c>
    </row>
    <row r="82" customFormat="false" ht="15" hidden="false" customHeight="false" outlineLevel="0" collapsed="false">
      <c r="A82" s="15" t="s">
        <v>271</v>
      </c>
      <c r="B82" s="5" t="s">
        <v>272</v>
      </c>
      <c r="C82" s="5" t="s">
        <v>31</v>
      </c>
      <c r="D82" s="6" t="n">
        <v>89</v>
      </c>
      <c r="E82" s="6" t="n">
        <v>140633</v>
      </c>
      <c r="F82" s="6" t="n">
        <v>1580</v>
      </c>
      <c r="G82" s="6" t="n">
        <v>1625</v>
      </c>
      <c r="H82" s="8" t="n">
        <f aca="false">G82-F82</f>
        <v>45</v>
      </c>
      <c r="I82" s="8" t="n">
        <f aca="false">D82*H82</f>
        <v>4005</v>
      </c>
      <c r="J82" s="20" t="n">
        <f aca="false">D82*F82</f>
        <v>140620</v>
      </c>
      <c r="K82" s="37" t="n">
        <v>514</v>
      </c>
      <c r="L82" s="20" t="n">
        <f aca="false">D82*K82</f>
        <v>45746</v>
      </c>
      <c r="M82" s="20" t="n">
        <f aca="false">IF(K82&gt;0,J82,0)</f>
        <v>140620</v>
      </c>
      <c r="N82" s="20" t="n">
        <f aca="false">IF(K82&gt;0,I82,0)</f>
        <v>4005</v>
      </c>
    </row>
    <row r="83" customFormat="false" ht="15" hidden="false" customHeight="false" outlineLevel="0" collapsed="false">
      <c r="A83" s="5" t="s">
        <v>273</v>
      </c>
      <c r="B83" s="5" t="s">
        <v>273</v>
      </c>
      <c r="C83" s="5" t="s">
        <v>31</v>
      </c>
      <c r="D83" s="6" t="n">
        <v>86</v>
      </c>
      <c r="E83" s="6" t="n">
        <v>126690</v>
      </c>
      <c r="F83" s="6" t="n">
        <v>1480</v>
      </c>
      <c r="G83" s="6" t="n">
        <v>1507</v>
      </c>
      <c r="H83" s="8" t="n">
        <f aca="false">G83-F83</f>
        <v>27</v>
      </c>
      <c r="I83" s="8" t="n">
        <f aca="false">D83*H83</f>
        <v>2322</v>
      </c>
      <c r="J83" s="20" t="n">
        <f aca="false">D83*F83</f>
        <v>127280</v>
      </c>
      <c r="K83" s="37" t="n">
        <v>483.6</v>
      </c>
      <c r="L83" s="20" t="n">
        <f aca="false">D83*K83</f>
        <v>41589.6</v>
      </c>
      <c r="M83" s="20" t="n">
        <f aca="false">IF(K83&gt;0,J83,0)</f>
        <v>127280</v>
      </c>
      <c r="N83" s="20" t="n">
        <f aca="false">IF(K83&gt;0,I83,0)</f>
        <v>2322</v>
      </c>
    </row>
    <row r="84" customFormat="false" ht="15" hidden="false" customHeight="false" outlineLevel="0" collapsed="false">
      <c r="A84" s="5" t="s">
        <v>274</v>
      </c>
      <c r="B84" s="5" t="s">
        <v>275</v>
      </c>
      <c r="C84" s="5" t="s">
        <v>31</v>
      </c>
      <c r="D84" s="6" t="n">
        <v>78</v>
      </c>
      <c r="E84" s="6" t="n">
        <v>99334</v>
      </c>
      <c r="F84" s="6" t="n">
        <v>1280</v>
      </c>
      <c r="G84" s="6" t="n">
        <v>1325</v>
      </c>
      <c r="H84" s="8" t="n">
        <f aca="false">G84-F84</f>
        <v>45</v>
      </c>
      <c r="I84" s="8" t="n">
        <f aca="false">D84*H84</f>
        <v>3510</v>
      </c>
      <c r="J84" s="20" t="n">
        <f aca="false">D84*F84</f>
        <v>99840</v>
      </c>
      <c r="K84" s="37" t="n">
        <v>454.9</v>
      </c>
      <c r="L84" s="20" t="n">
        <f aca="false">D84*K84</f>
        <v>35482.2</v>
      </c>
      <c r="M84" s="20" t="n">
        <f aca="false">IF(K84&gt;0,J84,0)</f>
        <v>99840</v>
      </c>
      <c r="N84" s="20" t="n">
        <f aca="false">IF(K84&gt;0,I84,0)</f>
        <v>3510</v>
      </c>
    </row>
    <row r="85" customFormat="false" ht="15" hidden="false" customHeight="false" outlineLevel="0" collapsed="false">
      <c r="A85" s="5" t="s">
        <v>276</v>
      </c>
      <c r="B85" s="5" t="s">
        <v>276</v>
      </c>
      <c r="C85" s="5" t="s">
        <v>31</v>
      </c>
      <c r="D85" s="6" t="n">
        <v>70</v>
      </c>
      <c r="E85" s="6" t="n">
        <v>89605</v>
      </c>
      <c r="F85" s="6" t="n">
        <v>1280</v>
      </c>
      <c r="G85" s="6" t="n">
        <v>1325</v>
      </c>
      <c r="H85" s="8" t="n">
        <f aca="false">G85-F85</f>
        <v>45</v>
      </c>
      <c r="I85" s="8" t="n">
        <f aca="false">D85*H85</f>
        <v>3150</v>
      </c>
      <c r="J85" s="20" t="n">
        <f aca="false">D85*F85</f>
        <v>89600</v>
      </c>
      <c r="K85" s="37" t="n">
        <v>551.5</v>
      </c>
      <c r="L85" s="20" t="n">
        <f aca="false">D85*K85</f>
        <v>38605</v>
      </c>
      <c r="M85" s="20" t="n">
        <f aca="false">IF(K85&gt;0,J85,0)</f>
        <v>89600</v>
      </c>
      <c r="N85" s="20" t="n">
        <f aca="false">IF(K85&gt;0,I85,0)</f>
        <v>3150</v>
      </c>
    </row>
    <row r="86" customFormat="false" ht="15" hidden="false" customHeight="false" outlineLevel="0" collapsed="false">
      <c r="A86" s="15" t="s">
        <v>277</v>
      </c>
      <c r="B86" s="15" t="s">
        <v>278</v>
      </c>
      <c r="C86" s="5" t="s">
        <v>31</v>
      </c>
      <c r="D86" s="6" t="n">
        <v>79</v>
      </c>
      <c r="E86" s="6" t="n">
        <v>81370</v>
      </c>
      <c r="F86" s="6" t="n">
        <v>1030</v>
      </c>
      <c r="G86" s="6" t="n">
        <v>1057</v>
      </c>
      <c r="H86" s="8" t="n">
        <f aca="false">G86-F86</f>
        <v>27</v>
      </c>
      <c r="I86" s="8" t="n">
        <f aca="false">D86*H86</f>
        <v>2133</v>
      </c>
      <c r="J86" s="20" t="n">
        <f aca="false">D86*F86</f>
        <v>81370</v>
      </c>
      <c r="K86" s="37" t="n">
        <v>353.4</v>
      </c>
      <c r="L86" s="20" t="n">
        <f aca="false">D86*K86</f>
        <v>27918.6</v>
      </c>
      <c r="M86" s="20" t="n">
        <f aca="false">IF(K86&gt;0,J86,0)</f>
        <v>81370</v>
      </c>
      <c r="N86" s="20" t="n">
        <f aca="false">IF(K86&gt;0,I86,0)</f>
        <v>2133</v>
      </c>
    </row>
    <row r="87" customFormat="false" ht="15" hidden="false" customHeight="false" outlineLevel="0" collapsed="false">
      <c r="A87" s="5" t="s">
        <v>279</v>
      </c>
      <c r="B87" s="5" t="s">
        <v>279</v>
      </c>
      <c r="C87" s="5" t="s">
        <v>31</v>
      </c>
      <c r="D87" s="6" t="n">
        <v>249</v>
      </c>
      <c r="E87" s="6" t="n">
        <v>69720</v>
      </c>
      <c r="F87" s="6" t="n">
        <v>280</v>
      </c>
      <c r="G87" s="6" t="n">
        <v>298</v>
      </c>
      <c r="H87" s="8" t="n">
        <f aca="false">G87-F87</f>
        <v>18</v>
      </c>
      <c r="I87" s="8" t="n">
        <f aca="false">D87*H87</f>
        <v>4482</v>
      </c>
      <c r="J87" s="20" t="n">
        <f aca="false">D87*F87</f>
        <v>69720</v>
      </c>
      <c r="K87" s="37" t="n">
        <v>65.7</v>
      </c>
      <c r="L87" s="20" t="n">
        <f aca="false">D87*K87</f>
        <v>16359.3</v>
      </c>
      <c r="M87" s="20" t="n">
        <f aca="false">IF(K87&gt;0,J87,0)</f>
        <v>69720</v>
      </c>
      <c r="N87" s="20" t="n">
        <f aca="false">IF(K87&gt;0,I87,0)</f>
        <v>4482</v>
      </c>
    </row>
    <row r="88" customFormat="false" ht="15" hidden="false" customHeight="false" outlineLevel="0" collapsed="false">
      <c r="A88" s="15" t="s">
        <v>280</v>
      </c>
      <c r="B88" s="5" t="s">
        <v>281</v>
      </c>
      <c r="C88" s="5" t="s">
        <v>31</v>
      </c>
      <c r="D88" s="6" t="n">
        <v>40</v>
      </c>
      <c r="E88" s="6" t="n">
        <v>62569</v>
      </c>
      <c r="F88" s="6" t="n">
        <v>1580</v>
      </c>
      <c r="G88" s="6" t="n">
        <v>1625</v>
      </c>
      <c r="H88" s="8" t="n">
        <f aca="false">G88-F88</f>
        <v>45</v>
      </c>
      <c r="I88" s="8" t="n">
        <f aca="false">D88*H88</f>
        <v>1800</v>
      </c>
      <c r="J88" s="20" t="n">
        <f aca="false">D88*F88</f>
        <v>63200</v>
      </c>
      <c r="K88" s="37" t="n">
        <v>526.2</v>
      </c>
      <c r="L88" s="20" t="n">
        <f aca="false">D88*K88</f>
        <v>21048</v>
      </c>
      <c r="M88" s="20" t="n">
        <f aca="false">IF(K88&gt;0,J88,0)</f>
        <v>63200</v>
      </c>
      <c r="N88" s="20" t="n">
        <f aca="false">IF(K88&gt;0,I88,0)</f>
        <v>1800</v>
      </c>
    </row>
    <row r="89" customFormat="false" ht="15" hidden="false" customHeight="false" outlineLevel="0" collapsed="false">
      <c r="A89" s="5" t="s">
        <v>282</v>
      </c>
      <c r="B89" s="5" t="s">
        <v>283</v>
      </c>
      <c r="C89" s="5" t="s">
        <v>31</v>
      </c>
      <c r="D89" s="6" t="n">
        <v>354</v>
      </c>
      <c r="E89" s="6" t="n">
        <v>53040</v>
      </c>
      <c r="F89" s="6" t="n">
        <v>150</v>
      </c>
      <c r="G89" s="6" t="n">
        <v>168</v>
      </c>
      <c r="H89" s="8" t="n">
        <f aca="false">G89-F89</f>
        <v>18</v>
      </c>
      <c r="I89" s="8" t="n">
        <f aca="false">D89*H89</f>
        <v>6372</v>
      </c>
      <c r="J89" s="20" t="n">
        <f aca="false">D89*F89</f>
        <v>53100</v>
      </c>
      <c r="K89" s="37" t="n">
        <v>84</v>
      </c>
      <c r="L89" s="20" t="n">
        <f aca="false">D89*K89</f>
        <v>29736</v>
      </c>
      <c r="M89" s="20" t="n">
        <f aca="false">IF(K89&gt;0,J89,0)</f>
        <v>53100</v>
      </c>
      <c r="N89" s="20" t="n">
        <f aca="false">IF(K89&gt;0,I89,0)</f>
        <v>6372</v>
      </c>
    </row>
    <row r="90" customFormat="false" ht="15" hidden="false" customHeight="false" outlineLevel="0" collapsed="false">
      <c r="A90" s="5" t="s">
        <v>284</v>
      </c>
      <c r="B90" s="5" t="s">
        <v>284</v>
      </c>
      <c r="C90" s="5" t="s">
        <v>31</v>
      </c>
      <c r="D90" s="6" t="n">
        <v>43</v>
      </c>
      <c r="E90" s="6" t="n">
        <v>45577</v>
      </c>
      <c r="F90" s="6" t="n">
        <v>1080</v>
      </c>
      <c r="G90" s="6" t="n">
        <v>1125</v>
      </c>
      <c r="H90" s="8" t="n">
        <f aca="false">G90-F90</f>
        <v>45</v>
      </c>
      <c r="I90" s="8" t="n">
        <f aca="false">D90*H90</f>
        <v>1935</v>
      </c>
      <c r="J90" s="20" t="n">
        <f aca="false">D90*F90</f>
        <v>46440</v>
      </c>
      <c r="K90" s="37" t="n">
        <v>434.2</v>
      </c>
      <c r="L90" s="20" t="n">
        <f aca="false">D90*K90</f>
        <v>18670.6</v>
      </c>
      <c r="M90" s="20" t="n">
        <f aca="false">IF(K90&gt;0,J90,0)</f>
        <v>46440</v>
      </c>
      <c r="N90" s="20" t="n">
        <f aca="false">IF(K90&gt;0,I90,0)</f>
        <v>1935</v>
      </c>
    </row>
    <row r="91" customFormat="false" ht="15" hidden="false" customHeight="false" outlineLevel="0" collapsed="false">
      <c r="A91" s="15" t="s">
        <v>285</v>
      </c>
      <c r="B91" s="5" t="s">
        <v>286</v>
      </c>
      <c r="C91" s="5" t="s">
        <v>31</v>
      </c>
      <c r="D91" s="6" t="n">
        <v>23</v>
      </c>
      <c r="E91" s="6" t="n">
        <v>36341</v>
      </c>
      <c r="F91" s="6" t="n">
        <v>1580</v>
      </c>
      <c r="G91" s="6" t="n">
        <v>1625</v>
      </c>
      <c r="H91" s="8" t="n">
        <f aca="false">G91-F91</f>
        <v>45</v>
      </c>
      <c r="I91" s="8" t="n">
        <f aca="false">D91*H91</f>
        <v>1035</v>
      </c>
      <c r="J91" s="20" t="n">
        <f aca="false">D91*F91</f>
        <v>36340</v>
      </c>
      <c r="K91" s="37" t="n">
        <v>550</v>
      </c>
      <c r="L91" s="20" t="n">
        <f aca="false">D91*K91</f>
        <v>12650</v>
      </c>
      <c r="M91" s="20" t="n">
        <f aca="false">IF(K91&gt;0,J91,0)</f>
        <v>36340</v>
      </c>
      <c r="N91" s="20" t="n">
        <f aca="false">IF(K91&gt;0,I91,0)</f>
        <v>1035</v>
      </c>
    </row>
    <row r="92" customFormat="false" ht="15" hidden="false" customHeight="false" outlineLevel="0" collapsed="false">
      <c r="A92" s="5" t="s">
        <v>287</v>
      </c>
      <c r="B92" s="5" t="s">
        <v>287</v>
      </c>
      <c r="C92" s="5" t="s">
        <v>31</v>
      </c>
      <c r="D92" s="6" t="n">
        <v>28</v>
      </c>
      <c r="E92" s="6" t="n">
        <v>30240</v>
      </c>
      <c r="F92" s="6" t="n">
        <v>1080</v>
      </c>
      <c r="G92" s="6" t="n">
        <v>1107</v>
      </c>
      <c r="H92" s="8" t="n">
        <f aca="false">G92-F92</f>
        <v>27</v>
      </c>
      <c r="I92" s="8" t="n">
        <f aca="false">D92*H92</f>
        <v>756</v>
      </c>
      <c r="J92" s="20" t="n">
        <f aca="false">D92*F92</f>
        <v>30240</v>
      </c>
      <c r="K92" s="37" t="n">
        <v>375.6</v>
      </c>
      <c r="L92" s="20" t="n">
        <f aca="false">D92*K92</f>
        <v>10516.8</v>
      </c>
      <c r="M92" s="20" t="n">
        <f aca="false">IF(K92&gt;0,J92,0)</f>
        <v>30240</v>
      </c>
      <c r="N92" s="20" t="n">
        <f aca="false">IF(K92&gt;0,I92,0)</f>
        <v>756</v>
      </c>
    </row>
    <row r="93" customFormat="false" ht="15" hidden="false" customHeight="false" outlineLevel="0" collapsed="false">
      <c r="A93" s="5" t="s">
        <v>288</v>
      </c>
      <c r="B93" s="5" t="s">
        <v>288</v>
      </c>
      <c r="C93" s="5" t="s">
        <v>31</v>
      </c>
      <c r="D93" s="6" t="n">
        <v>14</v>
      </c>
      <c r="E93" s="6" t="n">
        <v>27725</v>
      </c>
      <c r="F93" s="6" t="n">
        <v>1980</v>
      </c>
      <c r="G93" s="6" t="n">
        <v>2025</v>
      </c>
      <c r="H93" s="8" t="n">
        <f aca="false">G93-F93</f>
        <v>45</v>
      </c>
      <c r="I93" s="8" t="n">
        <f aca="false">D93*H93</f>
        <v>630</v>
      </c>
      <c r="J93" s="20" t="n">
        <f aca="false">D93*F93</f>
        <v>27720</v>
      </c>
      <c r="K93" s="37" t="n">
        <v>810</v>
      </c>
      <c r="L93" s="20" t="n">
        <f aca="false">D93*K93</f>
        <v>11340</v>
      </c>
      <c r="M93" s="20" t="n">
        <f aca="false">IF(K93&gt;0,J93,0)</f>
        <v>27720</v>
      </c>
      <c r="N93" s="20" t="n">
        <f aca="false">IF(K93&gt;0,I93,0)</f>
        <v>630</v>
      </c>
    </row>
    <row r="94" customFormat="false" ht="15" hidden="false" customHeight="false" outlineLevel="0" collapsed="false">
      <c r="A94" s="5" t="s">
        <v>289</v>
      </c>
      <c r="B94" s="5" t="s">
        <v>289</v>
      </c>
      <c r="C94" s="5" t="s">
        <v>31</v>
      </c>
      <c r="D94" s="6" t="n">
        <v>24</v>
      </c>
      <c r="E94" s="6" t="n">
        <v>25920</v>
      </c>
      <c r="F94" s="6" t="n">
        <v>1080</v>
      </c>
      <c r="G94" s="6" t="n">
        <v>1107</v>
      </c>
      <c r="H94" s="8" t="n">
        <f aca="false">G94-F94</f>
        <v>27</v>
      </c>
      <c r="I94" s="8" t="n">
        <f aca="false">D94*H94</f>
        <v>648</v>
      </c>
      <c r="J94" s="20" t="n">
        <f aca="false">D94*F94</f>
        <v>25920</v>
      </c>
      <c r="K94" s="37" t="n">
        <v>392.4</v>
      </c>
      <c r="L94" s="20" t="n">
        <f aca="false">D94*K94</f>
        <v>9417.6</v>
      </c>
      <c r="M94" s="20" t="n">
        <f aca="false">IF(K94&gt;0,J94,0)</f>
        <v>25920</v>
      </c>
      <c r="N94" s="20" t="n">
        <f aca="false">IF(K94&gt;0,I94,0)</f>
        <v>648</v>
      </c>
    </row>
    <row r="95" customFormat="false" ht="15" hidden="false" customHeight="false" outlineLevel="0" collapsed="false">
      <c r="A95" s="5" t="s">
        <v>290</v>
      </c>
      <c r="B95" s="5" t="s">
        <v>291</v>
      </c>
      <c r="C95" s="5" t="s">
        <v>31</v>
      </c>
      <c r="D95" s="6" t="n">
        <v>13</v>
      </c>
      <c r="E95" s="6" t="n">
        <v>21840</v>
      </c>
      <c r="F95" s="6" t="n">
        <v>1680</v>
      </c>
      <c r="G95" s="6" t="n">
        <v>1725</v>
      </c>
      <c r="H95" s="8" t="n">
        <f aca="false">G95-F95</f>
        <v>45</v>
      </c>
      <c r="I95" s="8" t="n">
        <f aca="false">D95*H95</f>
        <v>585</v>
      </c>
      <c r="J95" s="20" t="n">
        <f aca="false">D95*F95</f>
        <v>21840</v>
      </c>
      <c r="K95" s="37" t="n">
        <v>639.7</v>
      </c>
      <c r="L95" s="20" t="n">
        <f aca="false">D95*K95</f>
        <v>8316.1</v>
      </c>
      <c r="M95" s="20" t="n">
        <f aca="false">IF(K95&gt;0,J95,0)</f>
        <v>21840</v>
      </c>
      <c r="N95" s="20" t="n">
        <f aca="false">IF(K95&gt;0,I95,0)</f>
        <v>585</v>
      </c>
    </row>
    <row r="96" customFormat="false" ht="15" hidden="false" customHeight="false" outlineLevel="0" collapsed="false">
      <c r="A96" s="5" t="s">
        <v>292</v>
      </c>
      <c r="B96" s="5" t="s">
        <v>293</v>
      </c>
      <c r="C96" s="5" t="s">
        <v>31</v>
      </c>
      <c r="D96" s="6" t="n">
        <v>19</v>
      </c>
      <c r="E96" s="6" t="n">
        <v>16720</v>
      </c>
      <c r="F96" s="6" t="n">
        <v>880</v>
      </c>
      <c r="G96" s="6" t="n">
        <v>907</v>
      </c>
      <c r="H96" s="8" t="n">
        <f aca="false">G96-F96</f>
        <v>27</v>
      </c>
      <c r="I96" s="8" t="n">
        <f aca="false">D96*H96</f>
        <v>513</v>
      </c>
      <c r="J96" s="20" t="n">
        <f aca="false">D96*F96</f>
        <v>16720</v>
      </c>
      <c r="K96" s="37" t="n">
        <v>348.6</v>
      </c>
      <c r="L96" s="20" t="n">
        <f aca="false">D96*K96</f>
        <v>6623.4</v>
      </c>
      <c r="M96" s="20" t="n">
        <f aca="false">IF(K96&gt;0,J96,0)</f>
        <v>16720</v>
      </c>
      <c r="N96" s="20" t="n">
        <f aca="false">IF(K96&gt;0,I96,0)</f>
        <v>513</v>
      </c>
    </row>
    <row r="97" customFormat="false" ht="15" hidden="false" customHeight="false" outlineLevel="0" collapsed="false">
      <c r="A97" s="5" t="s">
        <v>294</v>
      </c>
      <c r="B97" s="5" t="s">
        <v>294</v>
      </c>
      <c r="C97" s="5" t="s">
        <v>31</v>
      </c>
      <c r="D97" s="6" t="n">
        <v>17</v>
      </c>
      <c r="E97" s="6" t="n">
        <v>14960</v>
      </c>
      <c r="F97" s="6" t="n">
        <v>880</v>
      </c>
      <c r="G97" s="6" t="n">
        <v>907</v>
      </c>
      <c r="H97" s="8" t="n">
        <f aca="false">G97-F97</f>
        <v>27</v>
      </c>
      <c r="I97" s="8" t="n">
        <f aca="false">D97*H97</f>
        <v>459</v>
      </c>
      <c r="J97" s="20" t="n">
        <f aca="false">D97*F97</f>
        <v>14960</v>
      </c>
      <c r="K97" s="37" t="n">
        <v>294</v>
      </c>
      <c r="L97" s="20" t="n">
        <f aca="false">D97*K97</f>
        <v>4998</v>
      </c>
      <c r="M97" s="20" t="n">
        <f aca="false">IF(K97&gt;0,J97,0)</f>
        <v>14960</v>
      </c>
      <c r="N97" s="20" t="n">
        <f aca="false">IF(K97&gt;0,I97,0)</f>
        <v>459</v>
      </c>
    </row>
    <row r="98" customFormat="false" ht="15" hidden="false" customHeight="false" outlineLevel="0" collapsed="false">
      <c r="A98" s="5" t="s">
        <v>295</v>
      </c>
      <c r="B98" s="5" t="s">
        <v>296</v>
      </c>
      <c r="C98" s="5" t="s">
        <v>31</v>
      </c>
      <c r="D98" s="6" t="n">
        <v>10</v>
      </c>
      <c r="E98" s="6" t="n">
        <v>9800</v>
      </c>
      <c r="F98" s="6" t="n">
        <v>980</v>
      </c>
      <c r="G98" s="6" t="n">
        <v>1025</v>
      </c>
      <c r="H98" s="8" t="n">
        <f aca="false">G98-F98</f>
        <v>45</v>
      </c>
      <c r="I98" s="8" t="n">
        <f aca="false">D98*H98</f>
        <v>450</v>
      </c>
      <c r="J98" s="20" t="n">
        <f aca="false">D98*F98</f>
        <v>9800</v>
      </c>
      <c r="K98" s="37" t="n">
        <v>371.3</v>
      </c>
      <c r="L98" s="20" t="n">
        <f aca="false">D98*K98</f>
        <v>3713</v>
      </c>
      <c r="M98" s="20" t="n">
        <f aca="false">IF(K98&gt;0,J98,0)</f>
        <v>9800</v>
      </c>
      <c r="N98" s="20" t="n">
        <f aca="false">IF(K98&gt;0,I98,0)</f>
        <v>450</v>
      </c>
    </row>
    <row r="99" customFormat="false" ht="15" hidden="false" customHeight="false" outlineLevel="0" collapsed="false">
      <c r="A99" s="5" t="s">
        <v>297</v>
      </c>
      <c r="B99" s="5" t="s">
        <v>297</v>
      </c>
      <c r="C99" s="5" t="s">
        <v>31</v>
      </c>
      <c r="D99" s="6" t="n">
        <v>9</v>
      </c>
      <c r="E99" s="6" t="n">
        <v>9288</v>
      </c>
      <c r="F99" s="6" t="n">
        <v>1080</v>
      </c>
      <c r="G99" s="6" t="n">
        <v>1107</v>
      </c>
      <c r="H99" s="8" t="n">
        <f aca="false">G99-F99</f>
        <v>27</v>
      </c>
      <c r="I99" s="8" t="n">
        <f aca="false">D99*H99</f>
        <v>243</v>
      </c>
      <c r="J99" s="20" t="n">
        <f aca="false">D99*F99</f>
        <v>9720</v>
      </c>
      <c r="K99" s="37" t="n">
        <v>287.4</v>
      </c>
      <c r="L99" s="20" t="n">
        <f aca="false">D99*K99</f>
        <v>2586.6</v>
      </c>
      <c r="M99" s="20" t="n">
        <f aca="false">IF(K99&gt;0,J99,0)</f>
        <v>9720</v>
      </c>
      <c r="N99" s="20" t="n">
        <f aca="false">IF(K99&gt;0,I99,0)</f>
        <v>243</v>
      </c>
    </row>
    <row r="100" customFormat="false" ht="15" hidden="false" customHeight="false" outlineLevel="0" collapsed="false">
      <c r="A100" s="5" t="s">
        <v>298</v>
      </c>
      <c r="B100" s="5" t="s">
        <v>299</v>
      </c>
      <c r="C100" s="5" t="s">
        <v>31</v>
      </c>
      <c r="D100" s="6" t="n">
        <v>21</v>
      </c>
      <c r="E100" s="6" t="n">
        <v>7980</v>
      </c>
      <c r="F100" s="6" t="n">
        <v>380</v>
      </c>
      <c r="G100" s="6" t="n">
        <v>398</v>
      </c>
      <c r="H100" s="8" t="n">
        <f aca="false">G100-F100</f>
        <v>18</v>
      </c>
      <c r="I100" s="8" t="n">
        <f aca="false">D100*H100</f>
        <v>378</v>
      </c>
      <c r="J100" s="20" t="n">
        <f aca="false">D100*F100</f>
        <v>7980</v>
      </c>
      <c r="K100" s="37" t="n">
        <v>76.7</v>
      </c>
      <c r="L100" s="20" t="n">
        <f aca="false">D100*K100</f>
        <v>1610.7</v>
      </c>
      <c r="M100" s="20" t="n">
        <f aca="false">IF(K100&gt;0,J100,0)</f>
        <v>7980</v>
      </c>
      <c r="N100" s="20" t="n">
        <f aca="false">IF(K100&gt;0,I100,0)</f>
        <v>378</v>
      </c>
    </row>
    <row r="101" customFormat="false" ht="15" hidden="false" customHeight="false" outlineLevel="0" collapsed="false">
      <c r="A101" s="15" t="s">
        <v>300</v>
      </c>
      <c r="B101" s="15" t="s">
        <v>278</v>
      </c>
      <c r="C101" s="5" t="s">
        <v>31</v>
      </c>
      <c r="D101" s="6" t="n">
        <v>4</v>
      </c>
      <c r="E101" s="6" t="n">
        <v>4120</v>
      </c>
      <c r="F101" s="6" t="n">
        <v>1030</v>
      </c>
      <c r="G101" s="6" t="n">
        <v>1057</v>
      </c>
      <c r="H101" s="8" t="n">
        <f aca="false">G101-F101</f>
        <v>27</v>
      </c>
      <c r="I101" s="8" t="n">
        <f aca="false">D101*H101</f>
        <v>108</v>
      </c>
      <c r="J101" s="20" t="n">
        <f aca="false">D101*F101</f>
        <v>4120</v>
      </c>
      <c r="K101" s="37" t="n">
        <v>353.4</v>
      </c>
      <c r="L101" s="20" t="n">
        <f aca="false">D101*K101</f>
        <v>1413.6</v>
      </c>
      <c r="M101" s="20" t="n">
        <f aca="false">IF(K101&gt;0,J101,0)</f>
        <v>4120</v>
      </c>
      <c r="N101" s="20" t="n">
        <f aca="false">IF(K101&gt;0,I101,0)</f>
        <v>108</v>
      </c>
    </row>
    <row r="102" customFormat="false" ht="15" hidden="false" customHeight="false" outlineLevel="0" collapsed="false">
      <c r="A102" s="5" t="s">
        <v>301</v>
      </c>
      <c r="B102" s="5" t="s">
        <v>301</v>
      </c>
      <c r="C102" s="5" t="s">
        <v>31</v>
      </c>
      <c r="D102" s="6" t="n">
        <v>9</v>
      </c>
      <c r="E102" s="6" t="n">
        <v>3420</v>
      </c>
      <c r="F102" s="6" t="n">
        <v>380</v>
      </c>
      <c r="G102" s="6" t="n">
        <v>398</v>
      </c>
      <c r="H102" s="8" t="n">
        <f aca="false">G102-F102</f>
        <v>18</v>
      </c>
      <c r="I102" s="8" t="n">
        <f aca="false">D102*H102</f>
        <v>162</v>
      </c>
      <c r="J102" s="20" t="n">
        <f aca="false">D102*F102</f>
        <v>3420</v>
      </c>
      <c r="K102" s="37" t="n">
        <v>145.1</v>
      </c>
      <c r="L102" s="20" t="n">
        <f aca="false">D102*K102</f>
        <v>1305.9</v>
      </c>
      <c r="M102" s="20" t="n">
        <f aca="false">IF(K102&gt;0,J102,0)</f>
        <v>3420</v>
      </c>
      <c r="N102" s="20" t="n">
        <f aca="false">IF(K102&gt;0,I102,0)</f>
        <v>162</v>
      </c>
    </row>
    <row r="103" customFormat="false" ht="15" hidden="false" customHeight="false" outlineLevel="0" collapsed="false">
      <c r="A103" s="5" t="s">
        <v>302</v>
      </c>
      <c r="B103" s="5" t="s">
        <v>302</v>
      </c>
      <c r="C103" s="5" t="s">
        <v>31</v>
      </c>
      <c r="D103" s="6" t="n">
        <v>10</v>
      </c>
      <c r="E103" s="6" t="n">
        <v>2800</v>
      </c>
      <c r="F103" s="6" t="n">
        <v>280</v>
      </c>
      <c r="G103" s="6" t="n">
        <v>298</v>
      </c>
      <c r="H103" s="8" t="n">
        <f aca="false">G103-F103</f>
        <v>18</v>
      </c>
      <c r="I103" s="8" t="n">
        <f aca="false">D103*H103</f>
        <v>180</v>
      </c>
      <c r="J103" s="20" t="n">
        <f aca="false">D103*F103</f>
        <v>2800</v>
      </c>
      <c r="K103" s="37" t="n">
        <v>133.1</v>
      </c>
      <c r="L103" s="20" t="n">
        <f aca="false">D103*K103</f>
        <v>1331</v>
      </c>
      <c r="M103" s="20" t="n">
        <f aca="false">IF(K103&gt;0,J103,0)</f>
        <v>2800</v>
      </c>
      <c r="N103" s="20" t="n">
        <f aca="false">IF(K103&gt;0,I103,0)</f>
        <v>180</v>
      </c>
    </row>
    <row r="104" customFormat="false" ht="15" hidden="false" customHeight="false" outlineLevel="0" collapsed="false">
      <c r="A104" s="5" t="s">
        <v>303</v>
      </c>
      <c r="B104" s="5" t="s">
        <v>283</v>
      </c>
      <c r="C104" s="5" t="s">
        <v>31</v>
      </c>
      <c r="D104" s="6" t="n">
        <v>3</v>
      </c>
      <c r="E104" s="6" t="n">
        <v>327</v>
      </c>
      <c r="F104" s="6" t="n">
        <v>150</v>
      </c>
      <c r="G104" s="6" t="n">
        <v>168</v>
      </c>
      <c r="H104" s="8" t="n">
        <f aca="false">G104-F104</f>
        <v>18</v>
      </c>
      <c r="I104" s="8" t="n">
        <f aca="false">D104*H104</f>
        <v>54</v>
      </c>
      <c r="J104" s="20" t="n">
        <f aca="false">D104*F104</f>
        <v>450</v>
      </c>
      <c r="K104" s="37" t="n">
        <v>84</v>
      </c>
      <c r="L104" s="20" t="n">
        <f aca="false">D104*K104</f>
        <v>252</v>
      </c>
      <c r="M104" s="20" t="n">
        <f aca="false">IF(K104&gt;0,J104,0)</f>
        <v>450</v>
      </c>
      <c r="N104" s="20" t="n">
        <f aca="false">IF(K104&gt;0,I104,0)</f>
        <v>54</v>
      </c>
    </row>
    <row r="105" customFormat="false" ht="15" hidden="false" customHeight="false" outlineLevel="0" collapsed="false">
      <c r="A105" s="5" t="s">
        <v>304</v>
      </c>
      <c r="B105" s="5" t="s">
        <v>305</v>
      </c>
      <c r="C105" s="5" t="s">
        <v>32</v>
      </c>
      <c r="D105" s="6" t="n">
        <v>299</v>
      </c>
      <c r="E105" s="6" t="n">
        <v>381715</v>
      </c>
      <c r="F105" s="6" t="n">
        <v>1280</v>
      </c>
      <c r="G105" s="6" t="n">
        <v>1325</v>
      </c>
      <c r="H105" s="8" t="n">
        <f aca="false">G105-F105</f>
        <v>45</v>
      </c>
      <c r="I105" s="8" t="n">
        <f aca="false">D105*H105</f>
        <v>13455</v>
      </c>
      <c r="J105" s="20" t="n">
        <f aca="false">D105*F105</f>
        <v>382720</v>
      </c>
      <c r="K105" s="37" t="n">
        <v>448.8</v>
      </c>
      <c r="L105" s="20" t="n">
        <f aca="false">D105*K105</f>
        <v>134191.2</v>
      </c>
      <c r="M105" s="20" t="n">
        <f aca="false">IF(K105&gt;0,J105,0)</f>
        <v>382720</v>
      </c>
      <c r="N105" s="20" t="n">
        <f aca="false">IF(K105&gt;0,I105,0)</f>
        <v>13455</v>
      </c>
    </row>
    <row r="106" customFormat="false" ht="15" hidden="false" customHeight="false" outlineLevel="0" collapsed="false">
      <c r="A106" s="15" t="s">
        <v>306</v>
      </c>
      <c r="B106" s="5" t="s">
        <v>307</v>
      </c>
      <c r="C106" s="5" t="s">
        <v>32</v>
      </c>
      <c r="D106" s="6" t="n">
        <v>117</v>
      </c>
      <c r="E106" s="6" t="n">
        <v>184871</v>
      </c>
      <c r="F106" s="6" t="n">
        <v>1580</v>
      </c>
      <c r="G106" s="6" t="n">
        <v>1607</v>
      </c>
      <c r="H106" s="8" t="n">
        <f aca="false">G106-F106</f>
        <v>27</v>
      </c>
      <c r="I106" s="8" t="n">
        <f aca="false">D106*H106</f>
        <v>3159</v>
      </c>
      <c r="J106" s="20" t="n">
        <f aca="false">D106*F106</f>
        <v>184860</v>
      </c>
      <c r="K106" s="37" t="n">
        <v>493.6</v>
      </c>
      <c r="L106" s="20" t="n">
        <f aca="false">D106*K106</f>
        <v>57751.2</v>
      </c>
      <c r="M106" s="20" t="n">
        <f aca="false">IF(K106&gt;0,J106,0)</f>
        <v>184860</v>
      </c>
      <c r="N106" s="20" t="n">
        <f aca="false">IF(K106&gt;0,I106,0)</f>
        <v>3159</v>
      </c>
    </row>
    <row r="107" customFormat="false" ht="15" hidden="false" customHeight="false" outlineLevel="0" collapsed="false">
      <c r="A107" s="5" t="s">
        <v>308</v>
      </c>
      <c r="B107" s="5" t="s">
        <v>308</v>
      </c>
      <c r="C107" s="5" t="s">
        <v>32</v>
      </c>
      <c r="D107" s="6" t="n">
        <v>280</v>
      </c>
      <c r="E107" s="6" t="n">
        <v>134400</v>
      </c>
      <c r="F107" s="6" t="n">
        <v>480</v>
      </c>
      <c r="G107" s="6" t="n">
        <v>507</v>
      </c>
      <c r="H107" s="8" t="n">
        <f aca="false">G107-F107</f>
        <v>27</v>
      </c>
      <c r="I107" s="8" t="n">
        <f aca="false">D107*H107</f>
        <v>7560</v>
      </c>
      <c r="J107" s="20" t="n">
        <f aca="false">D107*F107</f>
        <v>134400</v>
      </c>
      <c r="K107" s="37" t="n">
        <v>75.8</v>
      </c>
      <c r="L107" s="20" t="n">
        <f aca="false">D107*K107</f>
        <v>21224</v>
      </c>
      <c r="M107" s="20" t="n">
        <f aca="false">IF(K107&gt;0,J107,0)</f>
        <v>134400</v>
      </c>
      <c r="N107" s="20" t="n">
        <f aca="false">IF(K107&gt;0,I107,0)</f>
        <v>7560</v>
      </c>
    </row>
    <row r="108" customFormat="false" ht="15" hidden="false" customHeight="false" outlineLevel="0" collapsed="false">
      <c r="A108" s="5" t="s">
        <v>309</v>
      </c>
      <c r="B108" s="5" t="s">
        <v>309</v>
      </c>
      <c r="C108" s="5" t="s">
        <v>32</v>
      </c>
      <c r="D108" s="6" t="n">
        <v>145</v>
      </c>
      <c r="E108" s="6" t="n">
        <v>113100</v>
      </c>
      <c r="F108" s="6" t="n">
        <v>780</v>
      </c>
      <c r="G108" s="6" t="n">
        <v>825</v>
      </c>
      <c r="H108" s="8" t="n">
        <f aca="false">G108-F108</f>
        <v>45</v>
      </c>
      <c r="I108" s="8" t="n">
        <f aca="false">D108*H108</f>
        <v>6525</v>
      </c>
      <c r="J108" s="20" t="n">
        <f aca="false">D108*F108</f>
        <v>113100</v>
      </c>
      <c r="K108" s="37" t="n">
        <v>366.6</v>
      </c>
      <c r="L108" s="20" t="n">
        <f aca="false">D108*K108</f>
        <v>53157</v>
      </c>
      <c r="M108" s="20" t="n">
        <f aca="false">IF(K108&gt;0,J108,0)</f>
        <v>113100</v>
      </c>
      <c r="N108" s="20" t="n">
        <f aca="false">IF(K108&gt;0,I108,0)</f>
        <v>6525</v>
      </c>
    </row>
    <row r="109" customFormat="false" ht="15" hidden="false" customHeight="false" outlineLevel="0" collapsed="false">
      <c r="A109" s="5" t="s">
        <v>310</v>
      </c>
      <c r="B109" s="5" t="s">
        <v>311</v>
      </c>
      <c r="C109" s="5" t="s">
        <v>32</v>
      </c>
      <c r="D109" s="6" t="n">
        <v>200</v>
      </c>
      <c r="E109" s="6" t="n">
        <v>105578</v>
      </c>
      <c r="F109" s="6" t="n">
        <v>530</v>
      </c>
      <c r="G109" s="6" t="n">
        <v>557</v>
      </c>
      <c r="H109" s="8" t="n">
        <f aca="false">G109-F109</f>
        <v>27</v>
      </c>
      <c r="I109" s="8" t="n">
        <f aca="false">D109*H109</f>
        <v>5400</v>
      </c>
      <c r="J109" s="20" t="n">
        <f aca="false">D109*F109</f>
        <v>106000</v>
      </c>
      <c r="K109" s="37" t="n">
        <v>193.1</v>
      </c>
      <c r="L109" s="20" t="n">
        <f aca="false">D109*K109</f>
        <v>38620</v>
      </c>
      <c r="M109" s="20" t="n">
        <f aca="false">IF(K109&gt;0,J109,0)</f>
        <v>106000</v>
      </c>
      <c r="N109" s="20" t="n">
        <f aca="false">IF(K109&gt;0,I109,0)</f>
        <v>5400</v>
      </c>
    </row>
    <row r="110" customFormat="false" ht="15" hidden="false" customHeight="false" outlineLevel="0" collapsed="false">
      <c r="A110" s="15" t="s">
        <v>312</v>
      </c>
      <c r="B110" s="5" t="s">
        <v>313</v>
      </c>
      <c r="C110" s="5" t="s">
        <v>32</v>
      </c>
      <c r="D110" s="6" t="n">
        <v>50</v>
      </c>
      <c r="E110" s="6" t="n">
        <v>98214</v>
      </c>
      <c r="F110" s="6" t="n">
        <v>1980</v>
      </c>
      <c r="G110" s="6" t="n">
        <v>2007</v>
      </c>
      <c r="H110" s="8" t="n">
        <f aca="false">G110-F110</f>
        <v>27</v>
      </c>
      <c r="I110" s="8" t="n">
        <f aca="false">D110*H110</f>
        <v>1350</v>
      </c>
      <c r="J110" s="20" t="n">
        <f aca="false">D110*F110</f>
        <v>99000</v>
      </c>
      <c r="K110" s="37" t="n">
        <v>645.3</v>
      </c>
      <c r="L110" s="20" t="n">
        <f aca="false">D110*K110</f>
        <v>32265</v>
      </c>
      <c r="M110" s="20" t="n">
        <f aca="false">IF(K110&gt;0,J110,0)</f>
        <v>99000</v>
      </c>
      <c r="N110" s="20" t="n">
        <f aca="false">IF(K110&gt;0,I110,0)</f>
        <v>1350</v>
      </c>
    </row>
    <row r="111" customFormat="false" ht="15" hidden="false" customHeight="false" outlineLevel="0" collapsed="false">
      <c r="A111" s="5" t="s">
        <v>314</v>
      </c>
      <c r="B111" s="5" t="s">
        <v>314</v>
      </c>
      <c r="C111" s="5" t="s">
        <v>32</v>
      </c>
      <c r="D111" s="6" t="n">
        <v>118</v>
      </c>
      <c r="E111" s="6" t="n">
        <v>91417</v>
      </c>
      <c r="F111" s="6" t="n">
        <v>780</v>
      </c>
      <c r="G111" s="6" t="n">
        <v>825</v>
      </c>
      <c r="H111" s="8" t="n">
        <f aca="false">G111-F111</f>
        <v>45</v>
      </c>
      <c r="I111" s="8" t="n">
        <f aca="false">D111*H111</f>
        <v>5310</v>
      </c>
      <c r="J111" s="20" t="n">
        <f aca="false">D111*F111</f>
        <v>92040</v>
      </c>
      <c r="K111" s="37" t="n">
        <v>270.1</v>
      </c>
      <c r="L111" s="20" t="n">
        <f aca="false">D111*K111</f>
        <v>31871.8</v>
      </c>
      <c r="M111" s="20" t="n">
        <f aca="false">IF(K111&gt;0,J111,0)</f>
        <v>92040</v>
      </c>
      <c r="N111" s="20" t="n">
        <f aca="false">IF(K111&gt;0,I111,0)</f>
        <v>5310</v>
      </c>
    </row>
    <row r="112" customFormat="false" ht="15" hidden="false" customHeight="false" outlineLevel="0" collapsed="false">
      <c r="A112" s="5" t="s">
        <v>315</v>
      </c>
      <c r="B112" s="5" t="s">
        <v>315</v>
      </c>
      <c r="C112" s="5" t="s">
        <v>32</v>
      </c>
      <c r="D112" s="6" t="n">
        <v>163</v>
      </c>
      <c r="E112" s="6" t="n">
        <v>86179</v>
      </c>
      <c r="F112" s="6" t="n">
        <v>530</v>
      </c>
      <c r="G112" s="6" t="n">
        <v>557</v>
      </c>
      <c r="H112" s="8" t="n">
        <f aca="false">G112-F112</f>
        <v>27</v>
      </c>
      <c r="I112" s="8" t="n">
        <f aca="false">D112*H112</f>
        <v>4401</v>
      </c>
      <c r="J112" s="20" t="n">
        <f aca="false">D112*F112</f>
        <v>86390</v>
      </c>
      <c r="K112" s="37" t="n">
        <v>167</v>
      </c>
      <c r="L112" s="20" t="n">
        <f aca="false">D112*K112</f>
        <v>27221</v>
      </c>
      <c r="M112" s="20" t="n">
        <f aca="false">IF(K112&gt;0,J112,0)</f>
        <v>86390</v>
      </c>
      <c r="N112" s="20" t="n">
        <f aca="false">IF(K112&gt;0,I112,0)</f>
        <v>4401</v>
      </c>
    </row>
    <row r="113" customFormat="false" ht="15" hidden="false" customHeight="false" outlineLevel="0" collapsed="false">
      <c r="A113" s="5" t="s">
        <v>316</v>
      </c>
      <c r="B113" s="5" t="s">
        <v>316</v>
      </c>
      <c r="C113" s="5" t="s">
        <v>32</v>
      </c>
      <c r="D113" s="6" t="n">
        <v>96</v>
      </c>
      <c r="E113" s="6" t="n">
        <v>74880</v>
      </c>
      <c r="F113" s="6" t="n">
        <v>780</v>
      </c>
      <c r="G113" s="6" t="n">
        <v>825</v>
      </c>
      <c r="H113" s="8" t="n">
        <f aca="false">G113-F113</f>
        <v>45</v>
      </c>
      <c r="I113" s="8" t="n">
        <f aca="false">D113*H113</f>
        <v>4320</v>
      </c>
      <c r="J113" s="20" t="n">
        <f aca="false">D113*F113</f>
        <v>74880</v>
      </c>
      <c r="K113" s="37" t="n">
        <v>194.3</v>
      </c>
      <c r="L113" s="20" t="n">
        <f aca="false">D113*K113</f>
        <v>18652.8</v>
      </c>
      <c r="M113" s="20" t="n">
        <f aca="false">IF(K113&gt;0,J113,0)</f>
        <v>74880</v>
      </c>
      <c r="N113" s="20" t="n">
        <f aca="false">IF(K113&gt;0,I113,0)</f>
        <v>4320</v>
      </c>
    </row>
    <row r="114" customFormat="false" ht="15" hidden="false" customHeight="false" outlineLevel="0" collapsed="false">
      <c r="A114" s="15" t="s">
        <v>317</v>
      </c>
      <c r="B114" s="5" t="s">
        <v>318</v>
      </c>
      <c r="C114" s="5" t="s">
        <v>32</v>
      </c>
      <c r="D114" s="6" t="n">
        <v>103</v>
      </c>
      <c r="E114" s="6" t="n">
        <v>70041</v>
      </c>
      <c r="F114" s="6" t="n">
        <v>680</v>
      </c>
      <c r="G114" s="6" t="n">
        <v>707</v>
      </c>
      <c r="H114" s="8" t="n">
        <f aca="false">G114-F114</f>
        <v>27</v>
      </c>
      <c r="I114" s="8" t="n">
        <f aca="false">D114*H114</f>
        <v>2781</v>
      </c>
      <c r="J114" s="20" t="n">
        <f aca="false">D114*F114</f>
        <v>70040</v>
      </c>
      <c r="K114" s="37" t="n">
        <v>257.9</v>
      </c>
      <c r="L114" s="20" t="n">
        <f aca="false">D114*K114</f>
        <v>26563.7</v>
      </c>
      <c r="M114" s="20" t="n">
        <f aca="false">IF(K114&gt;0,J114,0)</f>
        <v>70040</v>
      </c>
      <c r="N114" s="20" t="n">
        <f aca="false">IF(K114&gt;0,I114,0)</f>
        <v>2781</v>
      </c>
    </row>
    <row r="115" customFormat="false" ht="15" hidden="false" customHeight="false" outlineLevel="0" collapsed="false">
      <c r="A115" s="15" t="s">
        <v>319</v>
      </c>
      <c r="B115" s="5" t="s">
        <v>320</v>
      </c>
      <c r="C115" s="5" t="s">
        <v>32</v>
      </c>
      <c r="D115" s="6" t="n">
        <v>34</v>
      </c>
      <c r="E115" s="6" t="n">
        <v>67324</v>
      </c>
      <c r="F115" s="6" t="n">
        <v>1980</v>
      </c>
      <c r="G115" s="6" t="n">
        <v>2007</v>
      </c>
      <c r="H115" s="8" t="n">
        <f aca="false">G115-F115</f>
        <v>27</v>
      </c>
      <c r="I115" s="8" t="n">
        <f aca="false">D115*H115</f>
        <v>918</v>
      </c>
      <c r="J115" s="20" t="n">
        <f aca="false">D115*F115</f>
        <v>67320</v>
      </c>
      <c r="K115" s="37" t="n">
        <v>692.1</v>
      </c>
      <c r="L115" s="20" t="n">
        <f aca="false">D115*K115</f>
        <v>23531.4</v>
      </c>
      <c r="M115" s="20" t="n">
        <f aca="false">IF(K115&gt;0,J115,0)</f>
        <v>67320</v>
      </c>
      <c r="N115" s="20" t="n">
        <f aca="false">IF(K115&gt;0,I115,0)</f>
        <v>918</v>
      </c>
    </row>
    <row r="116" customFormat="false" ht="15" hidden="false" customHeight="false" outlineLevel="0" collapsed="false">
      <c r="A116" s="5" t="s">
        <v>321</v>
      </c>
      <c r="B116" s="5" t="s">
        <v>321</v>
      </c>
      <c r="C116" s="5" t="s">
        <v>32</v>
      </c>
      <c r="D116" s="6" t="n">
        <v>112</v>
      </c>
      <c r="E116" s="6" t="n">
        <v>64960</v>
      </c>
      <c r="F116" s="6" t="n">
        <v>580</v>
      </c>
      <c r="G116" s="6" t="n">
        <v>607</v>
      </c>
      <c r="H116" s="8" t="n">
        <f aca="false">G116-F116</f>
        <v>27</v>
      </c>
      <c r="I116" s="8" t="n">
        <f aca="false">D116*H116</f>
        <v>3024</v>
      </c>
      <c r="J116" s="20" t="n">
        <f aca="false">D116*F116</f>
        <v>64960</v>
      </c>
      <c r="K116" s="37" t="n">
        <v>173</v>
      </c>
      <c r="L116" s="20" t="n">
        <f aca="false">D116*K116</f>
        <v>19376</v>
      </c>
      <c r="M116" s="20" t="n">
        <f aca="false">IF(K116&gt;0,J116,0)</f>
        <v>64960</v>
      </c>
      <c r="N116" s="20" t="n">
        <f aca="false">IF(K116&gt;0,I116,0)</f>
        <v>3024</v>
      </c>
    </row>
    <row r="117" customFormat="false" ht="15" hidden="false" customHeight="false" outlineLevel="0" collapsed="false">
      <c r="A117" s="15" t="s">
        <v>322</v>
      </c>
      <c r="B117" s="5" t="s">
        <v>323</v>
      </c>
      <c r="C117" s="5" t="s">
        <v>32</v>
      </c>
      <c r="D117" s="6" t="n">
        <v>142</v>
      </c>
      <c r="E117" s="6" t="n">
        <v>61060</v>
      </c>
      <c r="F117" s="6" t="n">
        <v>430</v>
      </c>
      <c r="G117" s="6" t="n">
        <v>457</v>
      </c>
      <c r="H117" s="8" t="n">
        <f aca="false">G117-F117</f>
        <v>27</v>
      </c>
      <c r="I117" s="8" t="n">
        <f aca="false">D117*H117</f>
        <v>3834</v>
      </c>
      <c r="J117" s="20" t="n">
        <f aca="false">D117*F117</f>
        <v>61060</v>
      </c>
      <c r="K117" s="37" t="n">
        <v>77.6</v>
      </c>
      <c r="L117" s="20" t="n">
        <f aca="false">D117*K117</f>
        <v>11019.2</v>
      </c>
      <c r="M117" s="20" t="n">
        <f aca="false">IF(K117&gt;0,J117,0)</f>
        <v>61060</v>
      </c>
      <c r="N117" s="20" t="n">
        <f aca="false">IF(K117&gt;0,I117,0)</f>
        <v>3834</v>
      </c>
    </row>
    <row r="118" customFormat="false" ht="15" hidden="false" customHeight="false" outlineLevel="0" collapsed="false">
      <c r="A118" s="5" t="s">
        <v>324</v>
      </c>
      <c r="B118" s="5" t="s">
        <v>324</v>
      </c>
      <c r="C118" s="5" t="s">
        <v>32</v>
      </c>
      <c r="D118" s="6" t="n">
        <v>103</v>
      </c>
      <c r="E118" s="6" t="n">
        <v>59740</v>
      </c>
      <c r="F118" s="6" t="n">
        <v>580</v>
      </c>
      <c r="G118" s="6" t="n">
        <v>607</v>
      </c>
      <c r="H118" s="8" t="n">
        <f aca="false">G118-F118</f>
        <v>27</v>
      </c>
      <c r="I118" s="8" t="n">
        <f aca="false">D118*H118</f>
        <v>2781</v>
      </c>
      <c r="J118" s="20" t="n">
        <f aca="false">D118*F118</f>
        <v>59740</v>
      </c>
      <c r="K118" s="37" t="n">
        <v>208.3</v>
      </c>
      <c r="L118" s="20" t="n">
        <f aca="false">D118*K118</f>
        <v>21454.9</v>
      </c>
      <c r="M118" s="20" t="n">
        <f aca="false">IF(K118&gt;0,J118,0)</f>
        <v>59740</v>
      </c>
      <c r="N118" s="20" t="n">
        <f aca="false">IF(K118&gt;0,I118,0)</f>
        <v>2781</v>
      </c>
    </row>
    <row r="119" customFormat="false" ht="15" hidden="false" customHeight="false" outlineLevel="0" collapsed="false">
      <c r="A119" s="15" t="s">
        <v>325</v>
      </c>
      <c r="B119" s="5" t="s">
        <v>326</v>
      </c>
      <c r="C119" s="5" t="s">
        <v>32</v>
      </c>
      <c r="D119" s="6" t="n">
        <v>73</v>
      </c>
      <c r="E119" s="6" t="n">
        <v>56630</v>
      </c>
      <c r="F119" s="6" t="n">
        <v>780</v>
      </c>
      <c r="G119" s="6" t="n">
        <v>807</v>
      </c>
      <c r="H119" s="8" t="n">
        <f aca="false">G119-F119</f>
        <v>27</v>
      </c>
      <c r="I119" s="8" t="n">
        <f aca="false">D119*H119</f>
        <v>1971</v>
      </c>
      <c r="J119" s="20" t="n">
        <f aca="false">D119*F119</f>
        <v>56940</v>
      </c>
      <c r="K119" s="37" t="n">
        <v>344.2</v>
      </c>
      <c r="L119" s="20" t="n">
        <f aca="false">D119*K119</f>
        <v>25126.6</v>
      </c>
      <c r="M119" s="20" t="n">
        <f aca="false">IF(K119&gt;0,J119,0)</f>
        <v>56940</v>
      </c>
      <c r="N119" s="20" t="n">
        <f aca="false">IF(K119&gt;0,I119,0)</f>
        <v>1971</v>
      </c>
    </row>
    <row r="120" customFormat="false" ht="15" hidden="false" customHeight="false" outlineLevel="0" collapsed="false">
      <c r="A120" s="5" t="s">
        <v>327</v>
      </c>
      <c r="B120" s="5" t="s">
        <v>327</v>
      </c>
      <c r="C120" s="5" t="s">
        <v>32</v>
      </c>
      <c r="D120" s="6" t="n">
        <v>106</v>
      </c>
      <c r="E120" s="6" t="n">
        <v>55968</v>
      </c>
      <c r="F120" s="6" t="n">
        <v>530</v>
      </c>
      <c r="G120" s="6" t="n">
        <v>557</v>
      </c>
      <c r="H120" s="8" t="n">
        <f aca="false">G120-F120</f>
        <v>27</v>
      </c>
      <c r="I120" s="8" t="n">
        <f aca="false">D120*H120</f>
        <v>2862</v>
      </c>
      <c r="J120" s="20" t="n">
        <f aca="false">D120*F120</f>
        <v>56180</v>
      </c>
      <c r="K120" s="37" t="n">
        <v>220.9</v>
      </c>
      <c r="L120" s="20" t="n">
        <f aca="false">D120*K120</f>
        <v>23415.4</v>
      </c>
      <c r="M120" s="20" t="n">
        <f aca="false">IF(K120&gt;0,J120,0)</f>
        <v>56180</v>
      </c>
      <c r="N120" s="20" t="n">
        <f aca="false">IF(K120&gt;0,I120,0)</f>
        <v>2862</v>
      </c>
    </row>
    <row r="121" customFormat="false" ht="15" hidden="false" customHeight="false" outlineLevel="0" collapsed="false">
      <c r="A121" s="15" t="s">
        <v>328</v>
      </c>
      <c r="B121" s="5" t="s">
        <v>329</v>
      </c>
      <c r="C121" s="5" t="s">
        <v>32</v>
      </c>
      <c r="D121" s="6" t="n">
        <v>92</v>
      </c>
      <c r="E121" s="6" t="n">
        <v>53360</v>
      </c>
      <c r="F121" s="6" t="n">
        <v>580</v>
      </c>
      <c r="G121" s="6" t="n">
        <v>607</v>
      </c>
      <c r="H121" s="8" t="n">
        <f aca="false">G121-F121</f>
        <v>27</v>
      </c>
      <c r="I121" s="8" t="n">
        <f aca="false">D121*H121</f>
        <v>2484</v>
      </c>
      <c r="J121" s="20" t="n">
        <f aca="false">D121*F121</f>
        <v>53360</v>
      </c>
      <c r="K121" s="37" t="n">
        <v>214.4</v>
      </c>
      <c r="L121" s="20" t="n">
        <f aca="false">D121*K121</f>
        <v>19724.8</v>
      </c>
      <c r="M121" s="20" t="n">
        <f aca="false">IF(K121&gt;0,J121,0)</f>
        <v>53360</v>
      </c>
      <c r="N121" s="20" t="n">
        <f aca="false">IF(K121&gt;0,I121,0)</f>
        <v>2484</v>
      </c>
    </row>
    <row r="122" customFormat="false" ht="15" hidden="false" customHeight="false" outlineLevel="0" collapsed="false">
      <c r="A122" s="15" t="s">
        <v>330</v>
      </c>
      <c r="B122" s="15" t="s">
        <v>331</v>
      </c>
      <c r="C122" s="5" t="s">
        <v>32</v>
      </c>
      <c r="D122" s="6" t="n">
        <v>76</v>
      </c>
      <c r="E122" s="6" t="n">
        <v>40068</v>
      </c>
      <c r="F122" s="6" t="n">
        <v>530</v>
      </c>
      <c r="G122" s="6" t="n">
        <v>557</v>
      </c>
      <c r="H122" s="8" t="n">
        <f aca="false">G122-F122</f>
        <v>27</v>
      </c>
      <c r="I122" s="8" t="n">
        <f aca="false">D122*H122</f>
        <v>2052</v>
      </c>
      <c r="J122" s="20" t="n">
        <f aca="false">D122*F122</f>
        <v>40280</v>
      </c>
      <c r="K122" s="37" t="n">
        <v>172.2</v>
      </c>
      <c r="L122" s="20" t="n">
        <f aca="false">D122*K122</f>
        <v>13087.2</v>
      </c>
      <c r="M122" s="20" t="n">
        <f aca="false">IF(K122&gt;0,J122,0)</f>
        <v>40280</v>
      </c>
      <c r="N122" s="20" t="n">
        <f aca="false">IF(K122&gt;0,I122,0)</f>
        <v>2052</v>
      </c>
    </row>
    <row r="123" customFormat="false" ht="15" hidden="false" customHeight="false" outlineLevel="0" collapsed="false">
      <c r="A123" s="5" t="s">
        <v>332</v>
      </c>
      <c r="B123" s="5" t="s">
        <v>332</v>
      </c>
      <c r="C123" s="5" t="s">
        <v>32</v>
      </c>
      <c r="D123" s="6" t="n">
        <v>45</v>
      </c>
      <c r="E123" s="6" t="n">
        <v>39601</v>
      </c>
      <c r="F123" s="6" t="n">
        <v>880</v>
      </c>
      <c r="G123" s="6" t="n">
        <v>907</v>
      </c>
      <c r="H123" s="8" t="n">
        <f aca="false">G123-F123</f>
        <v>27</v>
      </c>
      <c r="I123" s="8" t="n">
        <f aca="false">D123*H123</f>
        <v>1215</v>
      </c>
      <c r="J123" s="20" t="n">
        <f aca="false">D123*F123</f>
        <v>39600</v>
      </c>
      <c r="K123" s="37" t="n">
        <v>390.3</v>
      </c>
      <c r="L123" s="20" t="n">
        <f aca="false">D123*K123</f>
        <v>17563.5</v>
      </c>
      <c r="M123" s="20" t="n">
        <f aca="false">IF(K123&gt;0,J123,0)</f>
        <v>39600</v>
      </c>
      <c r="N123" s="20" t="n">
        <f aca="false">IF(K123&gt;0,I123,0)</f>
        <v>1215</v>
      </c>
    </row>
    <row r="124" customFormat="false" ht="15" hidden="false" customHeight="false" outlineLevel="0" collapsed="false">
      <c r="A124" s="5" t="s">
        <v>333</v>
      </c>
      <c r="B124" s="5" t="s">
        <v>333</v>
      </c>
      <c r="C124" s="5" t="s">
        <v>32</v>
      </c>
      <c r="D124" s="6" t="n">
        <v>103</v>
      </c>
      <c r="E124" s="6" t="n">
        <v>39140</v>
      </c>
      <c r="F124" s="6" t="n">
        <v>380</v>
      </c>
      <c r="G124" s="6" t="n">
        <v>407</v>
      </c>
      <c r="H124" s="8" t="n">
        <f aca="false">G124-F124</f>
        <v>27</v>
      </c>
      <c r="I124" s="8" t="n">
        <f aca="false">D124*H124</f>
        <v>2781</v>
      </c>
      <c r="J124" s="20" t="n">
        <f aca="false">D124*F124</f>
        <v>39140</v>
      </c>
      <c r="K124" s="37" t="n">
        <v>88.1</v>
      </c>
      <c r="L124" s="20" t="n">
        <f aca="false">D124*K124</f>
        <v>9074.3</v>
      </c>
      <c r="M124" s="20" t="n">
        <f aca="false">IF(K124&gt;0,J124,0)</f>
        <v>39140</v>
      </c>
      <c r="N124" s="20" t="n">
        <f aca="false">IF(K124&gt;0,I124,0)</f>
        <v>2781</v>
      </c>
    </row>
    <row r="125" customFormat="false" ht="15" hidden="false" customHeight="false" outlineLevel="0" collapsed="false">
      <c r="A125" s="15" t="s">
        <v>334</v>
      </c>
      <c r="B125" s="5" t="s">
        <v>335</v>
      </c>
      <c r="C125" s="5" t="s">
        <v>32</v>
      </c>
      <c r="D125" s="6" t="n">
        <v>58</v>
      </c>
      <c r="E125" s="6" t="n">
        <v>36018</v>
      </c>
      <c r="F125" s="6" t="n">
        <v>580</v>
      </c>
      <c r="G125" s="6" t="n">
        <v>625</v>
      </c>
      <c r="H125" s="8" t="n">
        <f aca="false">G125-F125</f>
        <v>45</v>
      </c>
      <c r="I125" s="8" t="n">
        <f aca="false">D125*H125</f>
        <v>2610</v>
      </c>
      <c r="J125" s="20" t="n">
        <f aca="false">D125*F125</f>
        <v>33640</v>
      </c>
      <c r="K125" s="37" t="n">
        <v>189.8</v>
      </c>
      <c r="L125" s="20" t="n">
        <f aca="false">D125*K125</f>
        <v>11008.4</v>
      </c>
      <c r="M125" s="20" t="n">
        <f aca="false">IF(K125&gt;0,J125,0)</f>
        <v>33640</v>
      </c>
      <c r="N125" s="20" t="n">
        <f aca="false">IF(K125&gt;0,I125,0)</f>
        <v>2610</v>
      </c>
    </row>
    <row r="126" customFormat="false" ht="15" hidden="false" customHeight="false" outlineLevel="0" collapsed="false">
      <c r="A126" s="5" t="s">
        <v>336</v>
      </c>
      <c r="B126" s="5" t="s">
        <v>336</v>
      </c>
      <c r="C126" s="5" t="s">
        <v>32</v>
      </c>
      <c r="D126" s="6" t="n">
        <v>44</v>
      </c>
      <c r="E126" s="6" t="n">
        <v>34008</v>
      </c>
      <c r="F126" s="6" t="n">
        <v>780</v>
      </c>
      <c r="G126" s="6" t="n">
        <v>825</v>
      </c>
      <c r="H126" s="8" t="n">
        <f aca="false">G126-F126</f>
        <v>45</v>
      </c>
      <c r="I126" s="8" t="n">
        <f aca="false">D126*H126</f>
        <v>1980</v>
      </c>
      <c r="J126" s="20" t="n">
        <f aca="false">D126*F126</f>
        <v>34320</v>
      </c>
      <c r="K126" s="37" t="n">
        <v>267.3</v>
      </c>
      <c r="L126" s="20" t="n">
        <f aca="false">D126*K126</f>
        <v>11761.2</v>
      </c>
      <c r="M126" s="20" t="n">
        <f aca="false">IF(K126&gt;0,J126,0)</f>
        <v>34320</v>
      </c>
      <c r="N126" s="20" t="n">
        <f aca="false">IF(K126&gt;0,I126,0)</f>
        <v>1980</v>
      </c>
    </row>
    <row r="127" customFormat="false" ht="15" hidden="false" customHeight="false" outlineLevel="0" collapsed="false">
      <c r="A127" s="5" t="s">
        <v>337</v>
      </c>
      <c r="B127" s="5" t="s">
        <v>338</v>
      </c>
      <c r="C127" s="5" t="s">
        <v>32</v>
      </c>
      <c r="D127" s="6" t="n">
        <v>67</v>
      </c>
      <c r="E127" s="6" t="n">
        <v>32160</v>
      </c>
      <c r="F127" s="6" t="n">
        <v>480</v>
      </c>
      <c r="G127" s="6" t="n">
        <v>507</v>
      </c>
      <c r="H127" s="8" t="n">
        <f aca="false">G127-F127</f>
        <v>27</v>
      </c>
      <c r="I127" s="8" t="n">
        <f aca="false">D127*H127</f>
        <v>1809</v>
      </c>
      <c r="J127" s="20" t="n">
        <f aca="false">D127*F127</f>
        <v>32160</v>
      </c>
      <c r="K127" s="37" t="n">
        <v>165.2</v>
      </c>
      <c r="L127" s="20" t="n">
        <f aca="false">D127*K127</f>
        <v>11068.4</v>
      </c>
      <c r="M127" s="20" t="n">
        <f aca="false">IF(K127&gt;0,J127,0)</f>
        <v>32160</v>
      </c>
      <c r="N127" s="20" t="n">
        <f aca="false">IF(K127&gt;0,I127,0)</f>
        <v>1809</v>
      </c>
    </row>
    <row r="128" customFormat="false" ht="15" hidden="false" customHeight="false" outlineLevel="0" collapsed="false">
      <c r="A128" s="15" t="s">
        <v>339</v>
      </c>
      <c r="B128" s="5" t="s">
        <v>340</v>
      </c>
      <c r="C128" s="5" t="s">
        <v>32</v>
      </c>
      <c r="D128" s="6" t="n">
        <v>46</v>
      </c>
      <c r="E128" s="6" t="n">
        <v>31282</v>
      </c>
      <c r="F128" s="6" t="n">
        <v>680</v>
      </c>
      <c r="G128" s="6" t="n">
        <v>707</v>
      </c>
      <c r="H128" s="8" t="n">
        <f aca="false">G128-F128</f>
        <v>27</v>
      </c>
      <c r="I128" s="8" t="n">
        <f aca="false">D128*H128</f>
        <v>1242</v>
      </c>
      <c r="J128" s="20" t="n">
        <f aca="false">D128*F128</f>
        <v>31280</v>
      </c>
      <c r="K128" s="37" t="n">
        <v>177.3</v>
      </c>
      <c r="L128" s="20" t="n">
        <f aca="false">D128*K128</f>
        <v>8155.8</v>
      </c>
      <c r="M128" s="20" t="n">
        <f aca="false">IF(K128&gt;0,J128,0)</f>
        <v>31280</v>
      </c>
      <c r="N128" s="20" t="n">
        <f aca="false">IF(K128&gt;0,I128,0)</f>
        <v>1242</v>
      </c>
    </row>
    <row r="129" customFormat="false" ht="15" hidden="false" customHeight="false" outlineLevel="0" collapsed="false">
      <c r="A129" s="15" t="s">
        <v>341</v>
      </c>
      <c r="B129" s="5" t="s">
        <v>342</v>
      </c>
      <c r="C129" s="5" t="s">
        <v>32</v>
      </c>
      <c r="D129" s="6" t="n">
        <v>46</v>
      </c>
      <c r="E129" s="6" t="n">
        <v>26680</v>
      </c>
      <c r="F129" s="6" t="n">
        <v>580</v>
      </c>
      <c r="G129" s="6" t="n">
        <v>607</v>
      </c>
      <c r="H129" s="8" t="n">
        <f aca="false">G129-F129</f>
        <v>27</v>
      </c>
      <c r="I129" s="8" t="n">
        <f aca="false">D129*H129</f>
        <v>1242</v>
      </c>
      <c r="J129" s="20" t="n">
        <f aca="false">D129*F129</f>
        <v>26680</v>
      </c>
      <c r="K129" s="37" t="n">
        <v>373.2</v>
      </c>
      <c r="L129" s="20" t="n">
        <f aca="false">D129*K129</f>
        <v>17167.2</v>
      </c>
      <c r="M129" s="20" t="n">
        <f aca="false">IF(K129&gt;0,J129,0)</f>
        <v>26680</v>
      </c>
      <c r="N129" s="20" t="n">
        <f aca="false">IF(K129&gt;0,I129,0)</f>
        <v>1242</v>
      </c>
    </row>
    <row r="130" customFormat="false" ht="15" hidden="false" customHeight="false" outlineLevel="0" collapsed="false">
      <c r="A130" s="5" t="s">
        <v>343</v>
      </c>
      <c r="B130" s="5" t="s">
        <v>343</v>
      </c>
      <c r="C130" s="5" t="s">
        <v>32</v>
      </c>
      <c r="D130" s="6" t="n">
        <v>34</v>
      </c>
      <c r="E130" s="6" t="n">
        <v>26520</v>
      </c>
      <c r="F130" s="6" t="n">
        <v>780</v>
      </c>
      <c r="G130" s="6" t="n">
        <v>807</v>
      </c>
      <c r="H130" s="8" t="n">
        <f aca="false">G130-F130</f>
        <v>27</v>
      </c>
      <c r="I130" s="8" t="n">
        <f aca="false">D130*H130</f>
        <v>918</v>
      </c>
      <c r="J130" s="20" t="n">
        <f aca="false">D130*F130</f>
        <v>26520</v>
      </c>
      <c r="K130" s="37" t="n">
        <v>238.4</v>
      </c>
      <c r="L130" s="20" t="n">
        <f aca="false">D130*K130</f>
        <v>8105.6</v>
      </c>
      <c r="M130" s="20" t="n">
        <f aca="false">IF(K130&gt;0,J130,0)</f>
        <v>26520</v>
      </c>
      <c r="N130" s="20" t="n">
        <f aca="false">IF(K130&gt;0,I130,0)</f>
        <v>918</v>
      </c>
    </row>
    <row r="131" customFormat="false" ht="15" hidden="false" customHeight="false" outlineLevel="0" collapsed="false">
      <c r="A131" s="15" t="s">
        <v>344</v>
      </c>
      <c r="B131" s="5" t="s">
        <v>345</v>
      </c>
      <c r="C131" s="5" t="s">
        <v>32</v>
      </c>
      <c r="D131" s="6" t="n">
        <v>55</v>
      </c>
      <c r="E131" s="6" t="n">
        <v>20900</v>
      </c>
      <c r="F131" s="6" t="n">
        <v>380</v>
      </c>
      <c r="G131" s="6" t="n">
        <v>407</v>
      </c>
      <c r="H131" s="8" t="n">
        <f aca="false">G131-F131</f>
        <v>27</v>
      </c>
      <c r="I131" s="8" t="n">
        <f aca="false">D131*H131</f>
        <v>1485</v>
      </c>
      <c r="J131" s="20" t="n">
        <f aca="false">D131*F131</f>
        <v>20900</v>
      </c>
      <c r="K131" s="37" t="n">
        <v>167.4</v>
      </c>
      <c r="L131" s="20" t="n">
        <f aca="false">D131*K131</f>
        <v>9207</v>
      </c>
      <c r="M131" s="20" t="n">
        <f aca="false">IF(K131&gt;0,J131,0)</f>
        <v>20900</v>
      </c>
      <c r="N131" s="20" t="n">
        <f aca="false">IF(K131&gt;0,I131,0)</f>
        <v>1485</v>
      </c>
    </row>
    <row r="132" customFormat="false" ht="15" hidden="false" customHeight="false" outlineLevel="0" collapsed="false">
      <c r="A132" s="15" t="s">
        <v>346</v>
      </c>
      <c r="B132" s="5" t="s">
        <v>347</v>
      </c>
      <c r="C132" s="5" t="s">
        <v>32</v>
      </c>
      <c r="D132" s="6" t="n">
        <v>34</v>
      </c>
      <c r="E132" s="6" t="n">
        <v>20866</v>
      </c>
      <c r="F132" s="6" t="n">
        <v>580</v>
      </c>
      <c r="G132" s="6" t="n">
        <v>625</v>
      </c>
      <c r="H132" s="8" t="n">
        <f aca="false">G132-F132</f>
        <v>45</v>
      </c>
      <c r="I132" s="8" t="n">
        <f aca="false">D132*H132</f>
        <v>1530</v>
      </c>
      <c r="J132" s="20" t="n">
        <f aca="false">D132*F132</f>
        <v>19720</v>
      </c>
      <c r="K132" s="37" t="n">
        <v>211.4</v>
      </c>
      <c r="L132" s="20" t="n">
        <f aca="false">D132*K132</f>
        <v>7187.6</v>
      </c>
      <c r="M132" s="20" t="n">
        <f aca="false">IF(K132&gt;0,J132,0)</f>
        <v>19720</v>
      </c>
      <c r="N132" s="20" t="n">
        <f aca="false">IF(K132&gt;0,I132,0)</f>
        <v>1530</v>
      </c>
    </row>
    <row r="133" customFormat="false" ht="15" hidden="false" customHeight="false" outlineLevel="0" collapsed="false">
      <c r="A133" s="5" t="s">
        <v>348</v>
      </c>
      <c r="B133" s="5" t="s">
        <v>348</v>
      </c>
      <c r="C133" s="5" t="s">
        <v>32</v>
      </c>
      <c r="D133" s="6" t="n">
        <v>39</v>
      </c>
      <c r="E133" s="6" t="n">
        <v>20670</v>
      </c>
      <c r="F133" s="6" t="n">
        <v>530</v>
      </c>
      <c r="G133" s="6" t="n">
        <v>557</v>
      </c>
      <c r="H133" s="8" t="n">
        <f aca="false">G133-F133</f>
        <v>27</v>
      </c>
      <c r="I133" s="8" t="n">
        <f aca="false">D133*H133</f>
        <v>1053</v>
      </c>
      <c r="J133" s="20" t="n">
        <f aca="false">D133*F133</f>
        <v>20670</v>
      </c>
      <c r="K133" s="37" t="n">
        <v>160.3</v>
      </c>
      <c r="L133" s="20" t="n">
        <f aca="false">D133*K133</f>
        <v>6251.7</v>
      </c>
      <c r="M133" s="20" t="n">
        <f aca="false">IF(K133&gt;0,J133,0)</f>
        <v>20670</v>
      </c>
      <c r="N133" s="20" t="n">
        <f aca="false">IF(K133&gt;0,I133,0)</f>
        <v>1053</v>
      </c>
    </row>
    <row r="134" customFormat="false" ht="15" hidden="false" customHeight="false" outlineLevel="0" collapsed="false">
      <c r="A134" s="5" t="s">
        <v>349</v>
      </c>
      <c r="B134" s="5" t="s">
        <v>349</v>
      </c>
      <c r="C134" s="5" t="s">
        <v>32</v>
      </c>
      <c r="D134" s="6" t="n">
        <v>24</v>
      </c>
      <c r="E134" s="6" t="n">
        <v>15776</v>
      </c>
      <c r="F134" s="6" t="n">
        <v>680</v>
      </c>
      <c r="G134" s="6" t="n">
        <v>707</v>
      </c>
      <c r="H134" s="8" t="n">
        <f aca="false">G134-F134</f>
        <v>27</v>
      </c>
      <c r="I134" s="8" t="n">
        <f aca="false">D134*H134</f>
        <v>648</v>
      </c>
      <c r="J134" s="20" t="n">
        <f aca="false">D134*F134</f>
        <v>16320</v>
      </c>
      <c r="K134" s="37" t="n">
        <v>304</v>
      </c>
      <c r="L134" s="20" t="n">
        <f aca="false">D134*K134</f>
        <v>7296</v>
      </c>
      <c r="M134" s="20" t="n">
        <f aca="false">IF(K134&gt;0,J134,0)</f>
        <v>16320</v>
      </c>
      <c r="N134" s="20" t="n">
        <f aca="false">IF(K134&gt;0,I134,0)</f>
        <v>648</v>
      </c>
    </row>
    <row r="135" customFormat="false" ht="15" hidden="false" customHeight="false" outlineLevel="0" collapsed="false">
      <c r="A135" s="15" t="s">
        <v>350</v>
      </c>
      <c r="B135" s="5" t="s">
        <v>351</v>
      </c>
      <c r="C135" s="5" t="s">
        <v>32</v>
      </c>
      <c r="D135" s="6" t="n">
        <v>22</v>
      </c>
      <c r="E135" s="6" t="n">
        <v>13662</v>
      </c>
      <c r="F135" s="6" t="n">
        <v>580</v>
      </c>
      <c r="G135" s="6" t="n">
        <v>625</v>
      </c>
      <c r="H135" s="8" t="n">
        <f aca="false">G135-F135</f>
        <v>45</v>
      </c>
      <c r="I135" s="8" t="n">
        <f aca="false">D135*H135</f>
        <v>990</v>
      </c>
      <c r="J135" s="20" t="n">
        <f aca="false">D135*F135</f>
        <v>12760</v>
      </c>
      <c r="K135" s="37" t="n">
        <v>186.2</v>
      </c>
      <c r="L135" s="20" t="n">
        <f aca="false">D135*K135</f>
        <v>4096.4</v>
      </c>
      <c r="M135" s="20" t="n">
        <f aca="false">IF(K135&gt;0,J135,0)</f>
        <v>12760</v>
      </c>
      <c r="N135" s="20" t="n">
        <f aca="false">IF(K135&gt;0,I135,0)</f>
        <v>990</v>
      </c>
    </row>
    <row r="136" customFormat="false" ht="15" hidden="false" customHeight="false" outlineLevel="0" collapsed="false">
      <c r="A136" s="15" t="s">
        <v>352</v>
      </c>
      <c r="B136" s="5" t="s">
        <v>353</v>
      </c>
      <c r="C136" s="5" t="s">
        <v>32</v>
      </c>
      <c r="D136" s="6" t="n">
        <v>16</v>
      </c>
      <c r="E136" s="6" t="n">
        <v>9936</v>
      </c>
      <c r="F136" s="6" t="n">
        <v>580</v>
      </c>
      <c r="G136" s="6" t="n">
        <v>625</v>
      </c>
      <c r="H136" s="8" t="n">
        <f aca="false">G136-F136</f>
        <v>45</v>
      </c>
      <c r="I136" s="8" t="n">
        <f aca="false">D136*H136</f>
        <v>720</v>
      </c>
      <c r="J136" s="20" t="n">
        <f aca="false">D136*F136</f>
        <v>9280</v>
      </c>
      <c r="K136" s="37" t="n">
        <v>183.8</v>
      </c>
      <c r="L136" s="20" t="n">
        <f aca="false">D136*K136</f>
        <v>2940.8</v>
      </c>
      <c r="M136" s="20" t="n">
        <f aca="false">IF(K136&gt;0,J136,0)</f>
        <v>9280</v>
      </c>
      <c r="N136" s="20" t="n">
        <f aca="false">IF(K136&gt;0,I136,0)</f>
        <v>720</v>
      </c>
    </row>
    <row r="137" customFormat="false" ht="15" hidden="false" customHeight="false" outlineLevel="0" collapsed="false">
      <c r="A137" s="5" t="s">
        <v>354</v>
      </c>
      <c r="B137" s="5" t="s">
        <v>354</v>
      </c>
      <c r="C137" s="5" t="s">
        <v>32</v>
      </c>
      <c r="D137" s="6" t="n">
        <v>21</v>
      </c>
      <c r="E137" s="6" t="n">
        <v>7980</v>
      </c>
      <c r="F137" s="6" t="n">
        <v>380</v>
      </c>
      <c r="G137" s="6" t="n">
        <v>407</v>
      </c>
      <c r="H137" s="8" t="n">
        <f aca="false">G137-F137</f>
        <v>27</v>
      </c>
      <c r="I137" s="8" t="n">
        <f aca="false">D137*H137</f>
        <v>567</v>
      </c>
      <c r="J137" s="20" t="n">
        <f aca="false">D137*F137</f>
        <v>7980</v>
      </c>
      <c r="K137" s="37" t="n">
        <v>111.6</v>
      </c>
      <c r="L137" s="20" t="n">
        <f aca="false">D137*K137</f>
        <v>2343.6</v>
      </c>
      <c r="M137" s="20" t="n">
        <f aca="false">IF(K137&gt;0,J137,0)</f>
        <v>7980</v>
      </c>
      <c r="N137" s="20" t="n">
        <f aca="false">IF(K137&gt;0,I137,0)</f>
        <v>567</v>
      </c>
    </row>
    <row r="138" customFormat="false" ht="15" hidden="false" customHeight="false" outlineLevel="0" collapsed="false">
      <c r="A138" s="5" t="s">
        <v>355</v>
      </c>
      <c r="B138" s="5" t="s">
        <v>355</v>
      </c>
      <c r="C138" s="5" t="s">
        <v>32</v>
      </c>
      <c r="D138" s="6" t="n">
        <v>21</v>
      </c>
      <c r="E138" s="6" t="n">
        <v>7980</v>
      </c>
      <c r="F138" s="6" t="n">
        <v>380</v>
      </c>
      <c r="G138" s="6" t="n">
        <v>407</v>
      </c>
      <c r="H138" s="8" t="n">
        <f aca="false">G138-F138</f>
        <v>27</v>
      </c>
      <c r="I138" s="8" t="n">
        <f aca="false">D138*H138</f>
        <v>567</v>
      </c>
      <c r="J138" s="20" t="n">
        <f aca="false">D138*F138</f>
        <v>7980</v>
      </c>
      <c r="K138" s="37"/>
      <c r="L138" s="20" t="n">
        <f aca="false">D138*K138</f>
        <v>0</v>
      </c>
      <c r="M138" s="20" t="n">
        <f aca="false">IF(K138&gt;0,J138,0)</f>
        <v>0</v>
      </c>
      <c r="N138" s="20" t="n">
        <f aca="false">IF(K138&gt;0,I138,0)</f>
        <v>0</v>
      </c>
    </row>
    <row r="139" customFormat="false" ht="15" hidden="false" customHeight="false" outlineLevel="0" collapsed="false">
      <c r="A139" s="5" t="s">
        <v>356</v>
      </c>
      <c r="B139" s="5" t="s">
        <v>356</v>
      </c>
      <c r="C139" s="5" t="s">
        <v>32</v>
      </c>
      <c r="D139" s="6" t="n">
        <v>11</v>
      </c>
      <c r="E139" s="6" t="n">
        <v>5280</v>
      </c>
      <c r="F139" s="6" t="n">
        <v>480</v>
      </c>
      <c r="G139" s="6" t="n">
        <v>507</v>
      </c>
      <c r="H139" s="8" t="n">
        <f aca="false">G139-F139</f>
        <v>27</v>
      </c>
      <c r="I139" s="8" t="n">
        <f aca="false">D139*H139</f>
        <v>297</v>
      </c>
      <c r="J139" s="20" t="n">
        <f aca="false">D139*F139</f>
        <v>5280</v>
      </c>
      <c r="K139" s="37" t="n">
        <v>93.9</v>
      </c>
      <c r="L139" s="20" t="n">
        <f aca="false">D139*K139</f>
        <v>1032.9</v>
      </c>
      <c r="M139" s="20" t="n">
        <f aca="false">IF(K139&gt;0,J139,0)</f>
        <v>5280</v>
      </c>
      <c r="N139" s="20" t="n">
        <f aca="false">IF(K139&gt;0,I139,0)</f>
        <v>297</v>
      </c>
    </row>
    <row r="140" customFormat="false" ht="15" hidden="false" customHeight="false" outlineLevel="0" collapsed="false">
      <c r="A140" s="15" t="s">
        <v>357</v>
      </c>
      <c r="B140" s="5" t="s">
        <v>358</v>
      </c>
      <c r="C140" s="5" t="s">
        <v>32</v>
      </c>
      <c r="D140" s="6" t="n">
        <v>8</v>
      </c>
      <c r="E140" s="6" t="n">
        <v>4968</v>
      </c>
      <c r="F140" s="6" t="n">
        <v>580</v>
      </c>
      <c r="G140" s="6" t="n">
        <v>625</v>
      </c>
      <c r="H140" s="8" t="n">
        <f aca="false">G140-F140</f>
        <v>45</v>
      </c>
      <c r="I140" s="8" t="n">
        <f aca="false">D140*H140</f>
        <v>360</v>
      </c>
      <c r="J140" s="20" t="n">
        <f aca="false">D140*F140</f>
        <v>4640</v>
      </c>
      <c r="K140" s="37" t="n">
        <v>230.6</v>
      </c>
      <c r="L140" s="20" t="n">
        <f aca="false">D140*K140</f>
        <v>1844.8</v>
      </c>
      <c r="M140" s="20" t="n">
        <f aca="false">IF(K140&gt;0,J140,0)</f>
        <v>4640</v>
      </c>
      <c r="N140" s="20" t="n">
        <f aca="false">IF(K140&gt;0,I140,0)</f>
        <v>360</v>
      </c>
    </row>
    <row r="141" customFormat="false" ht="15" hidden="false" customHeight="false" outlineLevel="0" collapsed="false">
      <c r="A141" s="15" t="s">
        <v>359</v>
      </c>
      <c r="B141" s="5" t="s">
        <v>360</v>
      </c>
      <c r="C141" s="5" t="s">
        <v>32</v>
      </c>
      <c r="D141" s="6" t="n">
        <v>4</v>
      </c>
      <c r="E141" s="6" t="n">
        <v>3120</v>
      </c>
      <c r="F141" s="6" t="n">
        <v>780</v>
      </c>
      <c r="G141" s="6" t="n">
        <v>807</v>
      </c>
      <c r="H141" s="8" t="n">
        <f aca="false">G141-F141</f>
        <v>27</v>
      </c>
      <c r="I141" s="8" t="n">
        <f aca="false">D141*H141</f>
        <v>108</v>
      </c>
      <c r="J141" s="20" t="n">
        <f aca="false">D141*F141</f>
        <v>3120</v>
      </c>
      <c r="K141" s="37" t="n">
        <v>192.2</v>
      </c>
      <c r="L141" s="20" t="n">
        <f aca="false">D141*K141</f>
        <v>768.8</v>
      </c>
      <c r="M141" s="20" t="n">
        <f aca="false">IF(K141&gt;0,J141,0)</f>
        <v>3120</v>
      </c>
      <c r="N141" s="20" t="n">
        <f aca="false">IF(K141&gt;0,I141,0)</f>
        <v>108</v>
      </c>
    </row>
    <row r="142" customFormat="false" ht="15" hidden="false" customHeight="false" outlineLevel="0" collapsed="false">
      <c r="A142" s="5" t="s">
        <v>361</v>
      </c>
      <c r="B142" s="5" t="s">
        <v>361</v>
      </c>
      <c r="C142" s="5" t="s">
        <v>32</v>
      </c>
      <c r="D142" s="6" t="n">
        <v>6</v>
      </c>
      <c r="E142" s="6" t="n">
        <v>2280</v>
      </c>
      <c r="F142" s="6" t="n">
        <v>380</v>
      </c>
      <c r="G142" s="6" t="n">
        <v>407</v>
      </c>
      <c r="H142" s="8" t="n">
        <f aca="false">G142-F142</f>
        <v>27</v>
      </c>
      <c r="I142" s="8" t="n">
        <f aca="false">D142*H142</f>
        <v>162</v>
      </c>
      <c r="J142" s="20" t="n">
        <f aca="false">D142*F142</f>
        <v>2280</v>
      </c>
      <c r="K142" s="37" t="n">
        <v>211</v>
      </c>
      <c r="L142" s="20" t="n">
        <f aca="false">D142*K142</f>
        <v>1266</v>
      </c>
      <c r="M142" s="20" t="n">
        <f aca="false">IF(K142&gt;0,J142,0)</f>
        <v>2280</v>
      </c>
      <c r="N142" s="20" t="n">
        <f aca="false">IF(K142&gt;0,I142,0)</f>
        <v>162</v>
      </c>
    </row>
    <row r="143" customFormat="false" ht="15" hidden="false" customHeight="false" outlineLevel="0" collapsed="false">
      <c r="A143" s="15" t="s">
        <v>362</v>
      </c>
      <c r="B143" s="5" t="s">
        <v>363</v>
      </c>
      <c r="C143" s="5" t="s">
        <v>33</v>
      </c>
      <c r="D143" s="6" t="n">
        <v>443</v>
      </c>
      <c r="E143" s="6" t="n">
        <v>190491</v>
      </c>
      <c r="F143" s="6" t="n">
        <v>430</v>
      </c>
      <c r="G143" s="6" t="n">
        <v>448</v>
      </c>
      <c r="H143" s="8" t="n">
        <f aca="false">G143-F143</f>
        <v>18</v>
      </c>
      <c r="I143" s="8" t="n">
        <f aca="false">D143*H143</f>
        <v>7974</v>
      </c>
      <c r="J143" s="20" t="n">
        <f aca="false">D143*F143</f>
        <v>190490</v>
      </c>
      <c r="K143" s="37" t="n">
        <v>104.9</v>
      </c>
      <c r="L143" s="20" t="n">
        <f aca="false">D143*K143</f>
        <v>46470.7</v>
      </c>
      <c r="M143" s="20" t="n">
        <f aca="false">IF(K143&gt;0,J143,0)</f>
        <v>190490</v>
      </c>
      <c r="N143" s="20" t="n">
        <f aca="false">IF(K143&gt;0,I143,0)</f>
        <v>7974</v>
      </c>
    </row>
    <row r="144" customFormat="false" ht="15" hidden="false" customHeight="false" outlineLevel="0" collapsed="false">
      <c r="A144" s="15" t="s">
        <v>364</v>
      </c>
      <c r="B144" s="5" t="s">
        <v>365</v>
      </c>
      <c r="C144" s="5" t="s">
        <v>33</v>
      </c>
      <c r="D144" s="6" t="n">
        <v>181</v>
      </c>
      <c r="E144" s="6" t="n">
        <v>95930</v>
      </c>
      <c r="F144" s="6" t="n">
        <v>530</v>
      </c>
      <c r="G144" s="6" t="n">
        <v>557</v>
      </c>
      <c r="H144" s="8" t="n">
        <f aca="false">G144-F144</f>
        <v>27</v>
      </c>
      <c r="I144" s="8" t="n">
        <f aca="false">D144*H144</f>
        <v>4887</v>
      </c>
      <c r="J144" s="20" t="n">
        <f aca="false">D144*F144</f>
        <v>95930</v>
      </c>
      <c r="K144" s="37" t="n">
        <v>112.4</v>
      </c>
      <c r="L144" s="20" t="n">
        <f aca="false">D144*K144</f>
        <v>20344.4</v>
      </c>
      <c r="M144" s="20" t="n">
        <f aca="false">IF(K144&gt;0,J144,0)</f>
        <v>95930</v>
      </c>
      <c r="N144" s="20" t="n">
        <f aca="false">IF(K144&gt;0,I144,0)</f>
        <v>4887</v>
      </c>
    </row>
    <row r="145" customFormat="false" ht="15" hidden="false" customHeight="false" outlineLevel="0" collapsed="false">
      <c r="A145" s="15" t="s">
        <v>366</v>
      </c>
      <c r="B145" s="5" t="s">
        <v>367</v>
      </c>
      <c r="C145" s="5" t="s">
        <v>33</v>
      </c>
      <c r="D145" s="6" t="n">
        <v>161</v>
      </c>
      <c r="E145" s="6" t="n">
        <v>85329</v>
      </c>
      <c r="F145" s="6" t="n">
        <v>530</v>
      </c>
      <c r="G145" s="6" t="n">
        <v>557</v>
      </c>
      <c r="H145" s="8" t="n">
        <f aca="false">G145-F145</f>
        <v>27</v>
      </c>
      <c r="I145" s="8" t="n">
        <f aca="false">D145*H145</f>
        <v>4347</v>
      </c>
      <c r="J145" s="20" t="n">
        <f aca="false">D145*F145</f>
        <v>85330</v>
      </c>
      <c r="K145" s="37" t="n">
        <v>132.8</v>
      </c>
      <c r="L145" s="20" t="n">
        <f aca="false">D145*K145</f>
        <v>21380.8</v>
      </c>
      <c r="M145" s="20" t="n">
        <f aca="false">IF(K145&gt;0,J145,0)</f>
        <v>85330</v>
      </c>
      <c r="N145" s="20" t="n">
        <f aca="false">IF(K145&gt;0,I145,0)</f>
        <v>4347</v>
      </c>
    </row>
    <row r="146" customFormat="false" ht="15" hidden="false" customHeight="false" outlineLevel="0" collapsed="false">
      <c r="A146" s="15" t="s">
        <v>368</v>
      </c>
      <c r="B146" s="5" t="s">
        <v>369</v>
      </c>
      <c r="C146" s="5" t="s">
        <v>33</v>
      </c>
      <c r="D146" s="6" t="n">
        <v>85</v>
      </c>
      <c r="E146" s="6" t="n">
        <v>45050</v>
      </c>
      <c r="F146" s="6" t="n">
        <v>530</v>
      </c>
      <c r="G146" s="6" t="n">
        <v>557</v>
      </c>
      <c r="H146" s="8" t="n">
        <f aca="false">G146-F146</f>
        <v>27</v>
      </c>
      <c r="I146" s="8" t="n">
        <f aca="false">D146*H146</f>
        <v>2295</v>
      </c>
      <c r="J146" s="20" t="n">
        <f aca="false">D146*F146</f>
        <v>45050</v>
      </c>
      <c r="K146" s="37" t="n">
        <v>170.5</v>
      </c>
      <c r="L146" s="20" t="n">
        <f aca="false">D146*K146</f>
        <v>14492.5</v>
      </c>
      <c r="M146" s="20" t="n">
        <f aca="false">IF(K146&gt;0,J146,0)</f>
        <v>45050</v>
      </c>
      <c r="N146" s="20" t="n">
        <f aca="false">IF(K146&gt;0,I146,0)</f>
        <v>2295</v>
      </c>
    </row>
    <row r="147" customFormat="false" ht="15" hidden="false" customHeight="false" outlineLevel="0" collapsed="false">
      <c r="A147" s="15" t="s">
        <v>370</v>
      </c>
      <c r="B147" s="5" t="s">
        <v>371</v>
      </c>
      <c r="C147" s="5" t="s">
        <v>33</v>
      </c>
      <c r="D147" s="6" t="n">
        <v>80</v>
      </c>
      <c r="E147" s="6" t="n">
        <v>42401</v>
      </c>
      <c r="F147" s="6" t="n">
        <v>530</v>
      </c>
      <c r="G147" s="6" t="n">
        <v>557</v>
      </c>
      <c r="H147" s="8" t="n">
        <f aca="false">G147-F147</f>
        <v>27</v>
      </c>
      <c r="I147" s="8" t="n">
        <f aca="false">D147*H147</f>
        <v>2160</v>
      </c>
      <c r="J147" s="20" t="n">
        <f aca="false">D147*F147</f>
        <v>42400</v>
      </c>
      <c r="K147" s="37" t="n">
        <v>160.2</v>
      </c>
      <c r="L147" s="20" t="n">
        <f aca="false">D147*K147</f>
        <v>12816</v>
      </c>
      <c r="M147" s="20" t="n">
        <f aca="false">IF(K147&gt;0,J147,0)</f>
        <v>42400</v>
      </c>
      <c r="N147" s="20" t="n">
        <f aca="false">IF(K147&gt;0,I147,0)</f>
        <v>2160</v>
      </c>
    </row>
    <row r="148" customFormat="false" ht="15" hidden="false" customHeight="false" outlineLevel="0" collapsed="false">
      <c r="A148" s="15" t="s">
        <v>372</v>
      </c>
      <c r="B148" s="5" t="s">
        <v>373</v>
      </c>
      <c r="C148" s="5" t="s">
        <v>33</v>
      </c>
      <c r="D148" s="6" t="n">
        <v>74</v>
      </c>
      <c r="E148" s="6" t="n">
        <v>39221</v>
      </c>
      <c r="F148" s="6" t="n">
        <v>530</v>
      </c>
      <c r="G148" s="6" t="n">
        <v>557</v>
      </c>
      <c r="H148" s="8" t="n">
        <f aca="false">G148-F148</f>
        <v>27</v>
      </c>
      <c r="I148" s="8" t="n">
        <f aca="false">D148*H148</f>
        <v>1998</v>
      </c>
      <c r="J148" s="20" t="n">
        <f aca="false">D148*F148</f>
        <v>39220</v>
      </c>
      <c r="K148" s="37" t="n">
        <v>112.9</v>
      </c>
      <c r="L148" s="20" t="n">
        <f aca="false">D148*K148</f>
        <v>8354.6</v>
      </c>
      <c r="M148" s="20" t="n">
        <f aca="false">IF(K148&gt;0,J148,0)</f>
        <v>39220</v>
      </c>
      <c r="N148" s="20" t="n">
        <f aca="false">IF(K148&gt;0,I148,0)</f>
        <v>1998</v>
      </c>
    </row>
    <row r="149" customFormat="false" ht="15" hidden="false" customHeight="false" outlineLevel="0" collapsed="false">
      <c r="A149" s="15" t="s">
        <v>374</v>
      </c>
      <c r="B149" s="5" t="s">
        <v>375</v>
      </c>
      <c r="C149" s="5" t="s">
        <v>33</v>
      </c>
      <c r="D149" s="6" t="n">
        <v>45</v>
      </c>
      <c r="E149" s="6" t="n">
        <v>21600</v>
      </c>
      <c r="F149" s="6" t="n">
        <v>480</v>
      </c>
      <c r="G149" s="6" t="n">
        <v>525</v>
      </c>
      <c r="H149" s="8" t="n">
        <f aca="false">G149-F149</f>
        <v>45</v>
      </c>
      <c r="I149" s="8" t="n">
        <f aca="false">D149*H149</f>
        <v>2025</v>
      </c>
      <c r="J149" s="20" t="n">
        <f aca="false">D149*F149</f>
        <v>21600</v>
      </c>
      <c r="K149" s="37" t="n">
        <v>82.4</v>
      </c>
      <c r="L149" s="20" t="n">
        <f aca="false">D149*K149</f>
        <v>3708</v>
      </c>
      <c r="M149" s="20" t="n">
        <f aca="false">IF(K149&gt;0,J149,0)</f>
        <v>21600</v>
      </c>
      <c r="N149" s="20" t="n">
        <f aca="false">IF(K149&gt;0,I149,0)</f>
        <v>2025</v>
      </c>
    </row>
    <row r="150" customFormat="false" ht="15" hidden="false" customHeight="false" outlineLevel="0" collapsed="false">
      <c r="A150" s="15" t="s">
        <v>376</v>
      </c>
      <c r="B150" s="5" t="s">
        <v>377</v>
      </c>
      <c r="C150" s="5" t="s">
        <v>33</v>
      </c>
      <c r="D150" s="6" t="n">
        <v>40</v>
      </c>
      <c r="E150" s="6" t="n">
        <v>19200</v>
      </c>
      <c r="F150" s="6" t="n">
        <v>480</v>
      </c>
      <c r="G150" s="6" t="n">
        <v>525</v>
      </c>
      <c r="H150" s="8" t="n">
        <f aca="false">G150-F150</f>
        <v>45</v>
      </c>
      <c r="I150" s="8" t="n">
        <f aca="false">D150*H150</f>
        <v>1800</v>
      </c>
      <c r="J150" s="20" t="n">
        <f aca="false">D150*F150</f>
        <v>19200</v>
      </c>
      <c r="K150" s="37" t="n">
        <v>98</v>
      </c>
      <c r="L150" s="20" t="n">
        <f aca="false">D150*K150</f>
        <v>3920</v>
      </c>
      <c r="M150" s="20" t="n">
        <f aca="false">IF(K150&gt;0,J150,0)</f>
        <v>19200</v>
      </c>
      <c r="N150" s="20" t="n">
        <f aca="false">IF(K150&gt;0,I150,0)</f>
        <v>1800</v>
      </c>
    </row>
    <row r="151" customFormat="false" ht="15" hidden="false" customHeight="false" outlineLevel="0" collapsed="false">
      <c r="A151" s="15" t="s">
        <v>378</v>
      </c>
      <c r="B151" s="5" t="s">
        <v>379</v>
      </c>
      <c r="C151" s="5" t="s">
        <v>33</v>
      </c>
      <c r="D151" s="6" t="n">
        <v>31</v>
      </c>
      <c r="E151" s="6" t="n">
        <v>16430</v>
      </c>
      <c r="F151" s="6" t="n">
        <v>530</v>
      </c>
      <c r="G151" s="6" t="n">
        <v>557</v>
      </c>
      <c r="H151" s="8" t="n">
        <f aca="false">G151-F151</f>
        <v>27</v>
      </c>
      <c r="I151" s="8" t="n">
        <f aca="false">D151*H151</f>
        <v>837</v>
      </c>
      <c r="J151" s="20" t="n">
        <f aca="false">D151*F151</f>
        <v>16430</v>
      </c>
      <c r="K151" s="37" t="n">
        <v>26.4</v>
      </c>
      <c r="L151" s="20" t="n">
        <f aca="false">D151*K151</f>
        <v>818.4</v>
      </c>
      <c r="M151" s="20" t="n">
        <f aca="false">IF(K151&gt;0,J151,0)</f>
        <v>16430</v>
      </c>
      <c r="N151" s="20" t="n">
        <f aca="false">IF(K151&gt;0,I151,0)</f>
        <v>837</v>
      </c>
    </row>
    <row r="152" customFormat="false" ht="15" hidden="false" customHeight="false" outlineLevel="0" collapsed="false">
      <c r="A152" s="15" t="s">
        <v>380</v>
      </c>
      <c r="B152" s="5" t="s">
        <v>381</v>
      </c>
      <c r="C152" s="5" t="s">
        <v>33</v>
      </c>
      <c r="D152" s="6" t="n">
        <v>24</v>
      </c>
      <c r="E152" s="6" t="n">
        <v>11520</v>
      </c>
      <c r="F152" s="6" t="n">
        <v>480</v>
      </c>
      <c r="G152" s="6" t="n">
        <v>525</v>
      </c>
      <c r="H152" s="8" t="n">
        <f aca="false">G152-F152</f>
        <v>45</v>
      </c>
      <c r="I152" s="8" t="n">
        <f aca="false">D152*H152</f>
        <v>1080</v>
      </c>
      <c r="J152" s="20" t="n">
        <f aca="false">D152*F152</f>
        <v>11520</v>
      </c>
      <c r="K152" s="37" t="n">
        <v>91.8</v>
      </c>
      <c r="L152" s="20" t="n">
        <f aca="false">D152*K152</f>
        <v>2203.2</v>
      </c>
      <c r="M152" s="20" t="n">
        <f aca="false">IF(K152&gt;0,J152,0)</f>
        <v>11520</v>
      </c>
      <c r="N152" s="20" t="n">
        <f aca="false">IF(K152&gt;0,I152,0)</f>
        <v>1080</v>
      </c>
    </row>
    <row r="153" customFormat="false" ht="15" hidden="false" customHeight="false" outlineLevel="0" collapsed="false">
      <c r="A153" s="15" t="s">
        <v>382</v>
      </c>
      <c r="B153" s="5" t="s">
        <v>383</v>
      </c>
      <c r="C153" s="5" t="s">
        <v>33</v>
      </c>
      <c r="D153" s="6" t="n">
        <v>22</v>
      </c>
      <c r="E153" s="6" t="n">
        <v>10560</v>
      </c>
      <c r="F153" s="6" t="n">
        <v>480</v>
      </c>
      <c r="G153" s="6" t="n">
        <v>525</v>
      </c>
      <c r="H153" s="8" t="n">
        <f aca="false">G153-F153</f>
        <v>45</v>
      </c>
      <c r="I153" s="8" t="n">
        <f aca="false">D153*H153</f>
        <v>990</v>
      </c>
      <c r="J153" s="20" t="n">
        <f aca="false">D153*F153</f>
        <v>10560</v>
      </c>
      <c r="K153" s="37" t="n">
        <v>102</v>
      </c>
      <c r="L153" s="20" t="n">
        <f aca="false">D153*K153</f>
        <v>2244</v>
      </c>
      <c r="M153" s="20" t="n">
        <f aca="false">IF(K153&gt;0,J153,0)</f>
        <v>10560</v>
      </c>
      <c r="N153" s="20" t="n">
        <f aca="false">IF(K153&gt;0,I153,0)</f>
        <v>990</v>
      </c>
    </row>
    <row r="154" customFormat="false" ht="15" hidden="false" customHeight="false" outlineLevel="0" collapsed="false">
      <c r="A154" s="15" t="s">
        <v>384</v>
      </c>
      <c r="B154" s="5" t="s">
        <v>385</v>
      </c>
      <c r="C154" s="5" t="s">
        <v>33</v>
      </c>
      <c r="D154" s="6" t="n">
        <v>20</v>
      </c>
      <c r="E154" s="6" t="n">
        <v>9600</v>
      </c>
      <c r="F154" s="6" t="n">
        <v>480</v>
      </c>
      <c r="G154" s="6" t="n">
        <v>525</v>
      </c>
      <c r="H154" s="8" t="n">
        <f aca="false">G154-F154</f>
        <v>45</v>
      </c>
      <c r="I154" s="8" t="n">
        <f aca="false">D154*H154</f>
        <v>900</v>
      </c>
      <c r="J154" s="20" t="n">
        <f aca="false">D154*F154</f>
        <v>9600</v>
      </c>
      <c r="K154" s="37" t="n">
        <v>103.5</v>
      </c>
      <c r="L154" s="20" t="n">
        <f aca="false">D154*K154</f>
        <v>2070</v>
      </c>
      <c r="M154" s="20" t="n">
        <f aca="false">IF(K154&gt;0,J154,0)</f>
        <v>9600</v>
      </c>
      <c r="N154" s="20" t="n">
        <f aca="false">IF(K154&gt;0,I154,0)</f>
        <v>900</v>
      </c>
    </row>
    <row r="155" customFormat="false" ht="15" hidden="false" customHeight="false" outlineLevel="0" collapsed="false">
      <c r="A155" s="5" t="s">
        <v>67</v>
      </c>
      <c r="B155" s="5" t="s">
        <v>386</v>
      </c>
      <c r="C155" s="5" t="s">
        <v>387</v>
      </c>
      <c r="D155" s="6" t="n">
        <v>964</v>
      </c>
      <c r="E155" s="6" t="n">
        <v>1188048</v>
      </c>
      <c r="F155" s="5"/>
      <c r="G155" s="5"/>
      <c r="H155" s="5"/>
      <c r="I155" s="5"/>
      <c r="J155" s="5"/>
      <c r="K155" s="5"/>
      <c r="L155" s="5"/>
      <c r="M155" s="5"/>
      <c r="N155" s="5"/>
    </row>
    <row r="156" customFormat="false" ht="15" hidden="false" customHeight="false" outlineLevel="0" collapsed="false">
      <c r="A156" s="5" t="s">
        <v>69</v>
      </c>
      <c r="B156" s="5" t="s">
        <v>386</v>
      </c>
      <c r="C156" s="5" t="s">
        <v>387</v>
      </c>
      <c r="D156" s="6" t="n">
        <v>605</v>
      </c>
      <c r="E156" s="6" t="n">
        <v>274670</v>
      </c>
      <c r="F156" s="5"/>
      <c r="G156" s="5"/>
      <c r="H156" s="5"/>
      <c r="I156" s="5"/>
      <c r="J156" s="5"/>
      <c r="K156" s="5"/>
      <c r="L156" s="5"/>
      <c r="M156" s="5"/>
      <c r="N156" s="5"/>
    </row>
    <row r="157" customFormat="false" ht="15" hidden="false" customHeight="false" outlineLevel="0" collapsed="false">
      <c r="A157" s="5" t="s">
        <v>388</v>
      </c>
      <c r="B157" s="5" t="s">
        <v>386</v>
      </c>
      <c r="C157" s="5" t="s">
        <v>387</v>
      </c>
      <c r="D157" s="6" t="n">
        <v>138</v>
      </c>
      <c r="E157" s="6" t="n">
        <v>149039</v>
      </c>
      <c r="F157" s="5"/>
      <c r="G157" s="5"/>
      <c r="H157" s="5"/>
      <c r="I157" s="5"/>
      <c r="J157" s="5"/>
      <c r="K157" s="5"/>
      <c r="L157" s="5"/>
      <c r="M157" s="5"/>
      <c r="N157" s="5"/>
    </row>
    <row r="158" customFormat="false" ht="15" hidden="false" customHeight="false" outlineLevel="0" collapsed="false">
      <c r="A158" s="5" t="s">
        <v>389</v>
      </c>
      <c r="B158" s="5" t="s">
        <v>386</v>
      </c>
      <c r="C158" s="5" t="s">
        <v>387</v>
      </c>
      <c r="D158" s="6" t="n">
        <v>335</v>
      </c>
      <c r="E158" s="6" t="n">
        <v>121937</v>
      </c>
      <c r="F158" s="5"/>
      <c r="G158" s="5"/>
      <c r="H158" s="5"/>
      <c r="I158" s="5"/>
      <c r="J158" s="5"/>
      <c r="K158" s="5"/>
      <c r="L158" s="5"/>
      <c r="M158" s="5"/>
      <c r="N158" s="5"/>
    </row>
    <row r="159" customFormat="false" ht="15" hidden="false" customHeight="false" outlineLevel="0" collapsed="false">
      <c r="A159" s="5" t="s">
        <v>390</v>
      </c>
      <c r="B159" s="5" t="s">
        <v>386</v>
      </c>
      <c r="C159" s="5" t="s">
        <v>387</v>
      </c>
      <c r="D159" s="6" t="n">
        <v>102</v>
      </c>
      <c r="E159" s="6" t="n">
        <v>99962</v>
      </c>
      <c r="F159" s="5"/>
      <c r="G159" s="5"/>
      <c r="H159" s="5"/>
      <c r="I159" s="5"/>
      <c r="J159" s="5"/>
      <c r="K159" s="5"/>
      <c r="L159" s="5"/>
      <c r="M159" s="5"/>
      <c r="N159" s="5"/>
    </row>
    <row r="160" customFormat="false" ht="15" hidden="false" customHeight="false" outlineLevel="0" collapsed="false">
      <c r="A160" s="5" t="s">
        <v>391</v>
      </c>
      <c r="B160" s="5" t="s">
        <v>386</v>
      </c>
      <c r="C160" s="5" t="s">
        <v>387</v>
      </c>
      <c r="D160" s="6" t="n">
        <v>168</v>
      </c>
      <c r="E160" s="6" t="n">
        <v>87927</v>
      </c>
      <c r="F160" s="5"/>
      <c r="G160" s="5"/>
      <c r="H160" s="5"/>
      <c r="I160" s="5"/>
      <c r="J160" s="5"/>
      <c r="K160" s="5"/>
      <c r="L160" s="5"/>
      <c r="M160" s="5"/>
      <c r="N160" s="5"/>
    </row>
    <row r="161" customFormat="false" ht="15" hidden="false" customHeight="false" outlineLevel="0" collapsed="false">
      <c r="A161" s="15" t="s">
        <v>70</v>
      </c>
      <c r="B161" s="5" t="s">
        <v>386</v>
      </c>
      <c r="C161" s="5" t="s">
        <v>387</v>
      </c>
      <c r="D161" s="6" t="n">
        <v>84</v>
      </c>
      <c r="E161" s="6" t="n">
        <v>84537</v>
      </c>
      <c r="F161" s="5"/>
      <c r="G161" s="5"/>
      <c r="H161" s="5"/>
      <c r="I161" s="5"/>
      <c r="J161" s="5"/>
      <c r="K161" s="5"/>
      <c r="L161" s="5"/>
      <c r="M161" s="5"/>
      <c r="N161" s="5"/>
    </row>
    <row r="162" customFormat="false" ht="15" hidden="false" customHeight="false" outlineLevel="0" collapsed="false">
      <c r="A162" s="15" t="s">
        <v>392</v>
      </c>
      <c r="B162" s="5" t="s">
        <v>386</v>
      </c>
      <c r="C162" s="5" t="s">
        <v>387</v>
      </c>
      <c r="D162" s="6" t="n">
        <v>85</v>
      </c>
      <c r="E162" s="6" t="n">
        <v>79052</v>
      </c>
      <c r="F162" s="5"/>
      <c r="G162" s="5"/>
      <c r="H162" s="5"/>
      <c r="I162" s="5"/>
      <c r="J162" s="5"/>
      <c r="K162" s="5"/>
      <c r="L162" s="5"/>
      <c r="M162" s="5"/>
      <c r="N162" s="5"/>
    </row>
    <row r="163" customFormat="false" ht="15" hidden="false" customHeight="false" outlineLevel="0" collapsed="false">
      <c r="A163" s="5" t="s">
        <v>393</v>
      </c>
      <c r="B163" s="5" t="s">
        <v>386</v>
      </c>
      <c r="C163" s="5" t="s">
        <v>387</v>
      </c>
      <c r="D163" s="6" t="n">
        <v>69</v>
      </c>
      <c r="E163" s="6" t="n">
        <v>73607</v>
      </c>
      <c r="F163" s="5"/>
      <c r="G163" s="5"/>
      <c r="H163" s="5"/>
      <c r="I163" s="5"/>
      <c r="J163" s="5"/>
      <c r="K163" s="5"/>
      <c r="L163" s="5"/>
      <c r="M163" s="5"/>
      <c r="N163" s="5"/>
    </row>
    <row r="164" customFormat="false" ht="15" hidden="false" customHeight="false" outlineLevel="0" collapsed="false">
      <c r="A164" s="5" t="s">
        <v>394</v>
      </c>
      <c r="B164" s="5" t="s">
        <v>386</v>
      </c>
      <c r="C164" s="5" t="s">
        <v>387</v>
      </c>
      <c r="D164" s="6" t="n">
        <v>58</v>
      </c>
      <c r="E164" s="6" t="n">
        <v>69602</v>
      </c>
      <c r="F164" s="5"/>
      <c r="G164" s="5"/>
      <c r="H164" s="5"/>
      <c r="I164" s="5"/>
      <c r="J164" s="5"/>
      <c r="K164" s="5"/>
      <c r="L164" s="5"/>
      <c r="M164" s="5"/>
      <c r="N164" s="5"/>
    </row>
    <row r="165" customFormat="false" ht="15" hidden="false" customHeight="false" outlineLevel="0" collapsed="false">
      <c r="A165" s="5" t="s">
        <v>395</v>
      </c>
      <c r="B165" s="5" t="s">
        <v>386</v>
      </c>
      <c r="C165" s="5" t="s">
        <v>387</v>
      </c>
      <c r="D165" s="6" t="n">
        <v>61</v>
      </c>
      <c r="E165" s="6" t="n">
        <v>64595</v>
      </c>
      <c r="F165" s="5"/>
      <c r="G165" s="5"/>
      <c r="H165" s="5"/>
      <c r="I165" s="5"/>
      <c r="J165" s="5"/>
      <c r="K165" s="5"/>
      <c r="L165" s="5"/>
      <c r="M165" s="5"/>
      <c r="N165" s="5"/>
    </row>
    <row r="166" customFormat="false" ht="15" hidden="false" customHeight="false" outlineLevel="0" collapsed="false">
      <c r="A166" s="5" t="s">
        <v>396</v>
      </c>
      <c r="B166" s="5" t="s">
        <v>386</v>
      </c>
      <c r="C166" s="5" t="s">
        <v>387</v>
      </c>
      <c r="D166" s="6" t="n">
        <v>53</v>
      </c>
      <c r="E166" s="6" t="n">
        <v>61690</v>
      </c>
      <c r="F166" s="5"/>
      <c r="G166" s="5"/>
      <c r="H166" s="5"/>
      <c r="I166" s="5"/>
      <c r="J166" s="5"/>
      <c r="K166" s="5"/>
      <c r="L166" s="5"/>
      <c r="M166" s="5"/>
      <c r="N166" s="5"/>
    </row>
    <row r="167" customFormat="false" ht="15" hidden="false" customHeight="false" outlineLevel="0" collapsed="false">
      <c r="A167" s="5" t="s">
        <v>397</v>
      </c>
      <c r="B167" s="5" t="s">
        <v>386</v>
      </c>
      <c r="C167" s="5" t="s">
        <v>387</v>
      </c>
      <c r="D167" s="6" t="n">
        <v>51</v>
      </c>
      <c r="E167" s="6" t="n">
        <v>56103</v>
      </c>
      <c r="F167" s="5"/>
      <c r="G167" s="5"/>
      <c r="H167" s="5"/>
      <c r="I167" s="5"/>
      <c r="J167" s="5"/>
      <c r="K167" s="5"/>
      <c r="L167" s="5"/>
      <c r="M167" s="5"/>
      <c r="N167" s="5"/>
    </row>
    <row r="168" customFormat="false" ht="15" hidden="false" customHeight="false" outlineLevel="0" collapsed="false">
      <c r="A168" s="5" t="s">
        <v>398</v>
      </c>
      <c r="B168" s="5" t="s">
        <v>386</v>
      </c>
      <c r="C168" s="5" t="s">
        <v>387</v>
      </c>
      <c r="D168" s="6" t="n">
        <v>43</v>
      </c>
      <c r="E168" s="6" t="n">
        <v>53963</v>
      </c>
      <c r="F168" s="5"/>
      <c r="G168" s="5"/>
      <c r="H168" s="5"/>
      <c r="I168" s="5"/>
      <c r="J168" s="5"/>
      <c r="K168" s="5"/>
      <c r="L168" s="5"/>
      <c r="M168" s="5"/>
      <c r="N168" s="5"/>
    </row>
    <row r="169" customFormat="false" ht="15" hidden="false" customHeight="false" outlineLevel="0" collapsed="false">
      <c r="A169" s="5" t="s">
        <v>399</v>
      </c>
      <c r="B169" s="5" t="s">
        <v>386</v>
      </c>
      <c r="C169" s="5" t="s">
        <v>387</v>
      </c>
      <c r="D169" s="6" t="n">
        <v>40</v>
      </c>
      <c r="E169" s="6" t="n">
        <v>46093</v>
      </c>
      <c r="F169" s="5"/>
      <c r="G169" s="5"/>
      <c r="H169" s="5"/>
      <c r="I169" s="5"/>
      <c r="J169" s="5"/>
      <c r="K169" s="5"/>
      <c r="L169" s="5"/>
      <c r="M169" s="5"/>
      <c r="N169" s="5"/>
    </row>
    <row r="170" customFormat="false" ht="15" hidden="false" customHeight="false" outlineLevel="0" collapsed="false">
      <c r="A170" s="5" t="s">
        <v>400</v>
      </c>
      <c r="B170" s="5" t="s">
        <v>386</v>
      </c>
      <c r="C170" s="5" t="s">
        <v>387</v>
      </c>
      <c r="D170" s="6" t="n">
        <v>39</v>
      </c>
      <c r="E170" s="6" t="n">
        <v>41417</v>
      </c>
      <c r="F170" s="5"/>
      <c r="G170" s="5"/>
      <c r="H170" s="5"/>
      <c r="I170" s="5"/>
      <c r="J170" s="5"/>
      <c r="K170" s="5"/>
      <c r="L170" s="5"/>
      <c r="M170" s="5"/>
      <c r="N170" s="5"/>
    </row>
    <row r="171" customFormat="false" ht="15" hidden="false" customHeight="false" outlineLevel="0" collapsed="false">
      <c r="A171" s="5" t="s">
        <v>401</v>
      </c>
      <c r="B171" s="5" t="s">
        <v>386</v>
      </c>
      <c r="C171" s="5" t="s">
        <v>387</v>
      </c>
      <c r="D171" s="6" t="n">
        <v>34717</v>
      </c>
      <c r="E171" s="6" t="n">
        <v>31561</v>
      </c>
      <c r="F171" s="5"/>
      <c r="G171" s="5"/>
      <c r="H171" s="5"/>
      <c r="I171" s="5"/>
      <c r="J171" s="5"/>
      <c r="K171" s="5"/>
      <c r="L171" s="5"/>
      <c r="M171" s="5"/>
      <c r="N171" s="5"/>
    </row>
    <row r="172" customFormat="false" ht="15" hidden="false" customHeight="false" outlineLevel="0" collapsed="false">
      <c r="A172" s="5" t="s">
        <v>402</v>
      </c>
      <c r="B172" s="5" t="s">
        <v>386</v>
      </c>
      <c r="C172" s="5" t="s">
        <v>387</v>
      </c>
      <c r="D172" s="6" t="n">
        <v>26</v>
      </c>
      <c r="E172" s="6" t="n">
        <v>27176</v>
      </c>
      <c r="F172" s="5"/>
      <c r="G172" s="5"/>
      <c r="H172" s="5"/>
      <c r="I172" s="5"/>
      <c r="J172" s="5"/>
      <c r="K172" s="5"/>
      <c r="L172" s="5"/>
      <c r="M172" s="5"/>
      <c r="N172" s="5"/>
    </row>
    <row r="173" customFormat="false" ht="15" hidden="false" customHeight="false" outlineLevel="0" collapsed="false">
      <c r="A173" s="5" t="s">
        <v>403</v>
      </c>
      <c r="B173" s="5" t="s">
        <v>386</v>
      </c>
      <c r="C173" s="5" t="s">
        <v>387</v>
      </c>
      <c r="D173" s="6" t="n">
        <v>32</v>
      </c>
      <c r="E173" s="6" t="n">
        <v>25023</v>
      </c>
      <c r="F173" s="5"/>
      <c r="G173" s="5"/>
      <c r="H173" s="5"/>
      <c r="I173" s="5"/>
      <c r="J173" s="5"/>
      <c r="K173" s="5"/>
      <c r="L173" s="5"/>
      <c r="M173" s="5"/>
      <c r="N173" s="5"/>
    </row>
    <row r="174" customFormat="false" ht="15" hidden="false" customHeight="false" outlineLevel="0" collapsed="false">
      <c r="A174" s="15" t="s">
        <v>404</v>
      </c>
      <c r="B174" s="5" t="s">
        <v>386</v>
      </c>
      <c r="C174" s="5" t="s">
        <v>387</v>
      </c>
      <c r="D174" s="6" t="n">
        <v>46</v>
      </c>
      <c r="E174" s="6" t="n">
        <v>22800</v>
      </c>
      <c r="F174" s="5"/>
      <c r="G174" s="5"/>
      <c r="H174" s="5"/>
      <c r="I174" s="5"/>
      <c r="J174" s="5"/>
      <c r="K174" s="5"/>
      <c r="L174" s="5"/>
      <c r="M174" s="5"/>
      <c r="N174" s="5"/>
    </row>
    <row r="175" customFormat="false" ht="15" hidden="false" customHeight="false" outlineLevel="0" collapsed="false">
      <c r="A175" s="5" t="s">
        <v>405</v>
      </c>
      <c r="B175" s="5" t="s">
        <v>386</v>
      </c>
      <c r="C175" s="5" t="s">
        <v>387</v>
      </c>
      <c r="D175" s="6" t="n">
        <v>18</v>
      </c>
      <c r="E175" s="6" t="n">
        <v>20486</v>
      </c>
      <c r="F175" s="5"/>
      <c r="G175" s="5"/>
      <c r="H175" s="5"/>
      <c r="I175" s="5"/>
      <c r="J175" s="5"/>
      <c r="K175" s="5"/>
      <c r="L175" s="5"/>
      <c r="M175" s="5"/>
      <c r="N175" s="5"/>
    </row>
    <row r="176" customFormat="false" ht="15" hidden="false" customHeight="false" outlineLevel="0" collapsed="false">
      <c r="A176" s="5" t="s">
        <v>406</v>
      </c>
      <c r="B176" s="5" t="s">
        <v>386</v>
      </c>
      <c r="C176" s="5" t="s">
        <v>387</v>
      </c>
      <c r="D176" s="6" t="n">
        <v>17</v>
      </c>
      <c r="E176" s="6" t="n">
        <v>19006</v>
      </c>
      <c r="F176" s="5"/>
      <c r="G176" s="5"/>
      <c r="H176" s="5"/>
      <c r="I176" s="5"/>
      <c r="J176" s="5"/>
      <c r="K176" s="5"/>
      <c r="L176" s="5"/>
      <c r="M176" s="5"/>
      <c r="N176" s="5"/>
    </row>
    <row r="177" customFormat="false" ht="15" hidden="false" customHeight="false" outlineLevel="0" collapsed="false">
      <c r="A177" s="5" t="s">
        <v>407</v>
      </c>
      <c r="B177" s="5" t="s">
        <v>386</v>
      </c>
      <c r="C177" s="5" t="s">
        <v>387</v>
      </c>
      <c r="D177" s="6" t="n">
        <v>29</v>
      </c>
      <c r="E177" s="6" t="n">
        <v>17922</v>
      </c>
      <c r="F177" s="5"/>
      <c r="G177" s="5"/>
      <c r="H177" s="5"/>
      <c r="I177" s="5"/>
      <c r="J177" s="5"/>
      <c r="K177" s="5"/>
      <c r="L177" s="5"/>
      <c r="M177" s="5"/>
      <c r="N177" s="5"/>
    </row>
    <row r="178" customFormat="false" ht="15" hidden="false" customHeight="false" outlineLevel="0" collapsed="false">
      <c r="A178" s="5" t="s">
        <v>408</v>
      </c>
      <c r="B178" s="5" t="s">
        <v>386</v>
      </c>
      <c r="C178" s="5" t="s">
        <v>387</v>
      </c>
      <c r="D178" s="6" t="n">
        <v>15</v>
      </c>
      <c r="E178" s="6" t="n">
        <v>15682</v>
      </c>
      <c r="F178" s="5"/>
      <c r="G178" s="5"/>
      <c r="H178" s="5"/>
      <c r="I178" s="5"/>
      <c r="J178" s="5"/>
      <c r="K178" s="5"/>
      <c r="L178" s="5"/>
      <c r="M178" s="5"/>
      <c r="N178" s="5"/>
    </row>
    <row r="179" customFormat="false" ht="15" hidden="false" customHeight="false" outlineLevel="0" collapsed="false">
      <c r="A179" s="5" t="s">
        <v>409</v>
      </c>
      <c r="B179" s="5" t="s">
        <v>386</v>
      </c>
      <c r="C179" s="5" t="s">
        <v>387</v>
      </c>
      <c r="D179" s="6" t="n">
        <v>26</v>
      </c>
      <c r="E179" s="6" t="n">
        <v>13939</v>
      </c>
      <c r="F179" s="5"/>
      <c r="G179" s="5"/>
      <c r="H179" s="5"/>
      <c r="I179" s="5"/>
      <c r="J179" s="5"/>
      <c r="K179" s="5"/>
      <c r="L179" s="5"/>
      <c r="M179" s="5"/>
      <c r="N179" s="5"/>
    </row>
    <row r="180" customFormat="false" ht="15" hidden="false" customHeight="false" outlineLevel="0" collapsed="false">
      <c r="A180" s="5" t="s">
        <v>410</v>
      </c>
      <c r="B180" s="5" t="s">
        <v>386</v>
      </c>
      <c r="C180" s="5" t="s">
        <v>387</v>
      </c>
      <c r="D180" s="6" t="n">
        <v>9</v>
      </c>
      <c r="E180" s="6" t="n">
        <v>12275</v>
      </c>
      <c r="F180" s="5"/>
      <c r="G180" s="5"/>
      <c r="H180" s="5"/>
      <c r="I180" s="5"/>
      <c r="J180" s="5"/>
      <c r="K180" s="5"/>
      <c r="L180" s="5"/>
      <c r="M180" s="5"/>
      <c r="N180" s="5"/>
    </row>
    <row r="181" customFormat="false" ht="15" hidden="false" customHeight="false" outlineLevel="0" collapsed="false">
      <c r="A181" s="5" t="s">
        <v>411</v>
      </c>
      <c r="B181" s="5" t="s">
        <v>386</v>
      </c>
      <c r="C181" s="5" t="s">
        <v>387</v>
      </c>
      <c r="D181" s="6" t="n">
        <v>107</v>
      </c>
      <c r="E181" s="6" t="n">
        <v>10700</v>
      </c>
      <c r="F181" s="5"/>
      <c r="G181" s="5"/>
      <c r="H181" s="5"/>
      <c r="I181" s="5"/>
      <c r="J181" s="5"/>
      <c r="K181" s="5"/>
      <c r="L181" s="5"/>
      <c r="M181" s="5"/>
      <c r="N181" s="5"/>
    </row>
    <row r="182" customFormat="false" ht="15" hidden="false" customHeight="false" outlineLevel="0" collapsed="false">
      <c r="A182" s="5" t="s">
        <v>412</v>
      </c>
      <c r="B182" s="5" t="s">
        <v>386</v>
      </c>
      <c r="C182" s="5" t="s">
        <v>387</v>
      </c>
      <c r="D182" s="6" t="n">
        <v>9</v>
      </c>
      <c r="E182" s="6" t="n">
        <v>10476</v>
      </c>
      <c r="F182" s="5"/>
      <c r="G182" s="5"/>
      <c r="H182" s="5"/>
      <c r="I182" s="5"/>
      <c r="J182" s="5"/>
      <c r="K182" s="5"/>
      <c r="L182" s="5"/>
      <c r="M182" s="5"/>
      <c r="N182" s="5"/>
    </row>
    <row r="183" customFormat="false" ht="15" hidden="false" customHeight="false" outlineLevel="0" collapsed="false">
      <c r="A183" s="5" t="s">
        <v>413</v>
      </c>
      <c r="B183" s="5" t="s">
        <v>386</v>
      </c>
      <c r="C183" s="5" t="s">
        <v>387</v>
      </c>
      <c r="D183" s="6" t="n">
        <v>27</v>
      </c>
      <c r="E183" s="6" t="n">
        <v>10260</v>
      </c>
      <c r="F183" s="5"/>
      <c r="G183" s="5"/>
      <c r="H183" s="5"/>
      <c r="I183" s="5"/>
      <c r="J183" s="5"/>
      <c r="K183" s="5"/>
      <c r="L183" s="5"/>
      <c r="M183" s="5"/>
      <c r="N183" s="5"/>
    </row>
    <row r="184" customFormat="false" ht="15" hidden="false" customHeight="false" outlineLevel="0" collapsed="false">
      <c r="A184" s="5" t="s">
        <v>414</v>
      </c>
      <c r="B184" s="5" t="s">
        <v>386</v>
      </c>
      <c r="C184" s="5" t="s">
        <v>387</v>
      </c>
      <c r="D184" s="6" t="n">
        <v>6</v>
      </c>
      <c r="E184" s="6" t="n">
        <v>8184</v>
      </c>
      <c r="F184" s="5"/>
      <c r="G184" s="5"/>
      <c r="H184" s="5"/>
      <c r="I184" s="5"/>
      <c r="J184" s="5"/>
      <c r="K184" s="5"/>
      <c r="L184" s="5"/>
      <c r="M184" s="5"/>
      <c r="N184" s="5"/>
    </row>
    <row r="185" customFormat="false" ht="15" hidden="false" customHeight="false" outlineLevel="0" collapsed="false">
      <c r="A185" s="5" t="s">
        <v>415</v>
      </c>
      <c r="B185" s="5" t="s">
        <v>386</v>
      </c>
      <c r="C185" s="5" t="s">
        <v>387</v>
      </c>
      <c r="D185" s="6" t="n">
        <v>7</v>
      </c>
      <c r="E185" s="6" t="n">
        <v>8148</v>
      </c>
      <c r="F185" s="5"/>
      <c r="G185" s="5"/>
      <c r="H185" s="5"/>
      <c r="I185" s="5"/>
      <c r="J185" s="5"/>
      <c r="K185" s="5"/>
      <c r="L185" s="5"/>
      <c r="M185" s="5"/>
      <c r="N185" s="5"/>
    </row>
    <row r="186" customFormat="false" ht="15" hidden="false" customHeight="false" outlineLevel="0" collapsed="false">
      <c r="A186" s="5" t="s">
        <v>416</v>
      </c>
      <c r="B186" s="5" t="s">
        <v>386</v>
      </c>
      <c r="C186" s="5" t="s">
        <v>387</v>
      </c>
      <c r="D186" s="6" t="n">
        <v>21</v>
      </c>
      <c r="E186" s="6" t="n">
        <v>7980</v>
      </c>
      <c r="F186" s="5"/>
      <c r="G186" s="5"/>
      <c r="H186" s="5"/>
      <c r="I186" s="5"/>
      <c r="J186" s="5"/>
      <c r="K186" s="5"/>
      <c r="L186" s="5"/>
      <c r="M186" s="5"/>
      <c r="N186" s="5"/>
    </row>
    <row r="187" customFormat="false" ht="15" hidden="false" customHeight="false" outlineLevel="0" collapsed="false">
      <c r="A187" s="5" t="s">
        <v>417</v>
      </c>
      <c r="B187" s="5" t="s">
        <v>386</v>
      </c>
      <c r="C187" s="5" t="s">
        <v>387</v>
      </c>
      <c r="D187" s="6" t="n">
        <v>33</v>
      </c>
      <c r="E187" s="6" t="n">
        <v>7920</v>
      </c>
      <c r="F187" s="5"/>
      <c r="G187" s="5"/>
      <c r="H187" s="5"/>
      <c r="I187" s="5"/>
      <c r="J187" s="5"/>
      <c r="K187" s="5"/>
      <c r="L187" s="5"/>
      <c r="M187" s="5"/>
      <c r="N187" s="5"/>
    </row>
    <row r="188" customFormat="false" ht="15" hidden="false" customHeight="false" outlineLevel="0" collapsed="false">
      <c r="A188" s="5" t="s">
        <v>418</v>
      </c>
      <c r="B188" s="5" t="s">
        <v>386</v>
      </c>
      <c r="C188" s="5" t="s">
        <v>387</v>
      </c>
      <c r="D188" s="6" t="n">
        <v>71</v>
      </c>
      <c r="E188" s="6" t="n">
        <v>7100</v>
      </c>
      <c r="F188" s="5"/>
      <c r="G188" s="5"/>
      <c r="H188" s="5"/>
      <c r="I188" s="5"/>
      <c r="J188" s="5"/>
      <c r="K188" s="5"/>
      <c r="L188" s="5"/>
      <c r="M188" s="5"/>
      <c r="N188" s="5"/>
    </row>
    <row r="189" customFormat="false" ht="15" hidden="false" customHeight="false" outlineLevel="0" collapsed="false">
      <c r="A189" s="5" t="s">
        <v>419</v>
      </c>
      <c r="B189" s="5" t="s">
        <v>386</v>
      </c>
      <c r="C189" s="5" t="s">
        <v>387</v>
      </c>
      <c r="D189" s="6" t="n">
        <v>27</v>
      </c>
      <c r="E189" s="6" t="n">
        <v>6480</v>
      </c>
      <c r="F189" s="5"/>
      <c r="G189" s="5"/>
      <c r="H189" s="5"/>
      <c r="I189" s="5"/>
      <c r="J189" s="5"/>
      <c r="K189" s="5"/>
      <c r="L189" s="5"/>
      <c r="M189" s="5"/>
      <c r="N189" s="5"/>
    </row>
    <row r="190" customFormat="false" ht="15" hidden="false" customHeight="false" outlineLevel="0" collapsed="false">
      <c r="A190" s="5" t="s">
        <v>420</v>
      </c>
      <c r="B190" s="5" t="s">
        <v>386</v>
      </c>
      <c r="C190" s="5" t="s">
        <v>387</v>
      </c>
      <c r="D190" s="6" t="n">
        <v>27</v>
      </c>
      <c r="E190" s="6" t="n">
        <v>6480</v>
      </c>
      <c r="F190" s="5"/>
      <c r="G190" s="5"/>
      <c r="H190" s="5"/>
      <c r="I190" s="5"/>
      <c r="J190" s="5"/>
      <c r="K190" s="5"/>
      <c r="L190" s="5"/>
      <c r="M190" s="5"/>
      <c r="N190" s="5"/>
    </row>
    <row r="191" customFormat="false" ht="15" hidden="false" customHeight="false" outlineLevel="0" collapsed="false">
      <c r="A191" s="15" t="s">
        <v>421</v>
      </c>
      <c r="B191" s="5" t="s">
        <v>386</v>
      </c>
      <c r="C191" s="5" t="s">
        <v>387</v>
      </c>
      <c r="D191" s="6" t="n">
        <v>6</v>
      </c>
      <c r="E191" s="6" t="n">
        <v>5580</v>
      </c>
      <c r="F191" s="5"/>
      <c r="G191" s="5"/>
      <c r="H191" s="5"/>
      <c r="I191" s="5"/>
      <c r="J191" s="5"/>
      <c r="K191" s="5"/>
      <c r="L191" s="5"/>
      <c r="M191" s="5"/>
      <c r="N191" s="5"/>
    </row>
    <row r="192" customFormat="false" ht="15" hidden="false" customHeight="false" outlineLevel="0" collapsed="false">
      <c r="A192" s="5" t="s">
        <v>422</v>
      </c>
      <c r="B192" s="5" t="s">
        <v>386</v>
      </c>
      <c r="C192" s="5" t="s">
        <v>387</v>
      </c>
      <c r="D192" s="6" t="n">
        <v>4</v>
      </c>
      <c r="E192" s="6" t="n">
        <v>5456</v>
      </c>
      <c r="F192" s="5"/>
      <c r="G192" s="5"/>
      <c r="H192" s="5"/>
      <c r="I192" s="5"/>
      <c r="J192" s="5"/>
      <c r="K192" s="5"/>
      <c r="L192" s="5"/>
      <c r="M192" s="5"/>
      <c r="N192" s="5"/>
    </row>
    <row r="193" customFormat="false" ht="15" hidden="false" customHeight="false" outlineLevel="0" collapsed="false">
      <c r="A193" s="5" t="s">
        <v>423</v>
      </c>
      <c r="B193" s="5" t="s">
        <v>386</v>
      </c>
      <c r="C193" s="5" t="s">
        <v>387</v>
      </c>
      <c r="D193" s="6" t="n">
        <v>20</v>
      </c>
      <c r="E193" s="6" t="n">
        <v>4000</v>
      </c>
      <c r="F193" s="5"/>
      <c r="G193" s="5"/>
      <c r="H193" s="5"/>
      <c r="I193" s="5"/>
      <c r="J193" s="5"/>
      <c r="K193" s="5"/>
      <c r="L193" s="5"/>
      <c r="M193" s="5"/>
      <c r="N193" s="5"/>
    </row>
    <row r="194" customFormat="false" ht="15" hidden="false" customHeight="false" outlineLevel="0" collapsed="false">
      <c r="A194" s="5" t="s">
        <v>424</v>
      </c>
      <c r="B194" s="5" t="s">
        <v>386</v>
      </c>
      <c r="C194" s="5" t="s">
        <v>387</v>
      </c>
      <c r="D194" s="6" t="n">
        <v>16</v>
      </c>
      <c r="E194" s="6" t="n">
        <v>3840</v>
      </c>
      <c r="F194" s="5"/>
      <c r="G194" s="5"/>
      <c r="H194" s="5"/>
      <c r="I194" s="5"/>
      <c r="J194" s="5"/>
      <c r="K194" s="5"/>
      <c r="L194" s="5"/>
      <c r="M194" s="5"/>
      <c r="N194" s="5"/>
    </row>
    <row r="195" customFormat="false" ht="15" hidden="false" customHeight="false" outlineLevel="0" collapsed="false">
      <c r="A195" s="5" t="s">
        <v>425</v>
      </c>
      <c r="B195" s="5" t="s">
        <v>386</v>
      </c>
      <c r="C195" s="5" t="s">
        <v>387</v>
      </c>
      <c r="D195" s="6" t="n">
        <v>4</v>
      </c>
      <c r="E195" s="6" t="n">
        <v>3020</v>
      </c>
      <c r="F195" s="5"/>
      <c r="G195" s="5"/>
      <c r="H195" s="5"/>
      <c r="I195" s="5"/>
      <c r="J195" s="5"/>
      <c r="K195" s="5"/>
      <c r="L195" s="5"/>
      <c r="M195" s="5"/>
      <c r="N195" s="5"/>
    </row>
    <row r="196" customFormat="false" ht="15" hidden="false" customHeight="false" outlineLevel="0" collapsed="false">
      <c r="A196" s="5" t="s">
        <v>426</v>
      </c>
      <c r="B196" s="5" t="s">
        <v>386</v>
      </c>
      <c r="C196" s="5" t="s">
        <v>387</v>
      </c>
      <c r="D196" s="6" t="n">
        <v>7</v>
      </c>
      <c r="E196" s="6" t="n">
        <v>2864</v>
      </c>
      <c r="F196" s="5"/>
      <c r="G196" s="5"/>
      <c r="H196" s="5"/>
      <c r="I196" s="5"/>
      <c r="J196" s="5"/>
      <c r="K196" s="5"/>
      <c r="L196" s="5"/>
      <c r="M196" s="5"/>
      <c r="N196" s="5"/>
    </row>
    <row r="197" customFormat="false" ht="15" hidden="false" customHeight="false" outlineLevel="0" collapsed="false">
      <c r="A197" s="15" t="s">
        <v>427</v>
      </c>
      <c r="B197" s="5" t="s">
        <v>386</v>
      </c>
      <c r="C197" s="5" t="s">
        <v>387</v>
      </c>
      <c r="D197" s="6" t="n">
        <v>3</v>
      </c>
      <c r="E197" s="6" t="n">
        <v>2790</v>
      </c>
      <c r="F197" s="5"/>
      <c r="G197" s="5"/>
      <c r="H197" s="5"/>
      <c r="I197" s="5"/>
      <c r="J197" s="5"/>
      <c r="K197" s="5"/>
      <c r="L197" s="5"/>
      <c r="M197" s="5"/>
      <c r="N197" s="5"/>
    </row>
    <row r="198" customFormat="false" ht="15" hidden="false" customHeight="false" outlineLevel="0" collapsed="false">
      <c r="A198" s="15" t="s">
        <v>428</v>
      </c>
      <c r="B198" s="5" t="s">
        <v>386</v>
      </c>
      <c r="C198" s="5" t="s">
        <v>387</v>
      </c>
      <c r="D198" s="6" t="n">
        <v>3</v>
      </c>
      <c r="E198" s="6" t="n">
        <v>2790</v>
      </c>
      <c r="F198" s="5"/>
      <c r="G198" s="5"/>
      <c r="H198" s="5"/>
      <c r="I198" s="5"/>
      <c r="J198" s="5"/>
      <c r="K198" s="5"/>
      <c r="L198" s="5"/>
      <c r="M198" s="5"/>
      <c r="N198" s="5"/>
    </row>
    <row r="199" customFormat="false" ht="15" hidden="false" customHeight="false" outlineLevel="0" collapsed="false">
      <c r="A199" s="5" t="s">
        <v>429</v>
      </c>
      <c r="B199" s="5" t="s">
        <v>386</v>
      </c>
      <c r="C199" s="5" t="s">
        <v>387</v>
      </c>
      <c r="D199" s="6" t="n">
        <v>8</v>
      </c>
      <c r="E199" s="6" t="n">
        <v>2720</v>
      </c>
      <c r="F199" s="5"/>
      <c r="G199" s="5"/>
      <c r="H199" s="5"/>
      <c r="I199" s="5"/>
      <c r="J199" s="5"/>
      <c r="K199" s="5"/>
      <c r="L199" s="5"/>
      <c r="M199" s="5"/>
      <c r="N199" s="5"/>
    </row>
    <row r="200" customFormat="false" ht="15" hidden="false" customHeight="false" outlineLevel="0" collapsed="false">
      <c r="A200" s="5" t="s">
        <v>430</v>
      </c>
      <c r="B200" s="5" t="s">
        <v>386</v>
      </c>
      <c r="C200" s="5" t="s">
        <v>387</v>
      </c>
      <c r="D200" s="6" t="n">
        <v>13</v>
      </c>
      <c r="E200" s="6" t="n">
        <v>2537</v>
      </c>
      <c r="F200" s="5"/>
      <c r="G200" s="5"/>
      <c r="H200" s="5"/>
      <c r="I200" s="5"/>
      <c r="J200" s="5"/>
      <c r="K200" s="5"/>
      <c r="L200" s="5"/>
      <c r="M200" s="5"/>
      <c r="N200" s="5"/>
    </row>
    <row r="201" customFormat="false" ht="15" hidden="false" customHeight="false" outlineLevel="0" collapsed="false">
      <c r="A201" s="5" t="s">
        <v>431</v>
      </c>
      <c r="B201" s="5" t="s">
        <v>386</v>
      </c>
      <c r="C201" s="5" t="s">
        <v>387</v>
      </c>
      <c r="D201" s="6" t="n">
        <v>2</v>
      </c>
      <c r="E201" s="6" t="n">
        <v>1980</v>
      </c>
      <c r="F201" s="5"/>
      <c r="G201" s="5"/>
      <c r="H201" s="5"/>
      <c r="I201" s="5"/>
      <c r="J201" s="5"/>
      <c r="K201" s="5"/>
      <c r="L201" s="5"/>
      <c r="M201" s="5"/>
      <c r="N201" s="5"/>
    </row>
    <row r="202" customFormat="false" ht="15" hidden="false" customHeight="false" outlineLevel="0" collapsed="false">
      <c r="A202" s="5" t="s">
        <v>432</v>
      </c>
      <c r="B202" s="5" t="s">
        <v>386</v>
      </c>
      <c r="C202" s="5" t="s">
        <v>387</v>
      </c>
      <c r="D202" s="6" t="n">
        <v>6</v>
      </c>
      <c r="E202" s="6" t="n">
        <v>1920</v>
      </c>
      <c r="F202" s="5"/>
      <c r="G202" s="5"/>
      <c r="H202" s="5"/>
      <c r="I202" s="5"/>
      <c r="J202" s="5"/>
      <c r="K202" s="5"/>
      <c r="L202" s="5"/>
      <c r="M202" s="5"/>
      <c r="N202" s="5"/>
    </row>
    <row r="203" customFormat="false" ht="15" hidden="false" customHeight="false" outlineLevel="0" collapsed="false">
      <c r="A203" s="5" t="s">
        <v>433</v>
      </c>
      <c r="B203" s="5" t="s">
        <v>386</v>
      </c>
      <c r="C203" s="5" t="s">
        <v>387</v>
      </c>
      <c r="D203" s="6" t="n">
        <v>3</v>
      </c>
      <c r="E203" s="6" t="n">
        <v>1719</v>
      </c>
      <c r="F203" s="5"/>
      <c r="G203" s="5"/>
      <c r="H203" s="5"/>
      <c r="I203" s="5"/>
      <c r="J203" s="5"/>
      <c r="K203" s="5"/>
      <c r="L203" s="5"/>
      <c r="M203" s="5"/>
      <c r="N203" s="5"/>
    </row>
    <row r="204" customFormat="false" ht="15" hidden="false" customHeight="false" outlineLevel="0" collapsed="false">
      <c r="A204" s="5" t="s">
        <v>434</v>
      </c>
      <c r="B204" s="5" t="s">
        <v>386</v>
      </c>
      <c r="C204" s="5" t="s">
        <v>387</v>
      </c>
      <c r="D204" s="6" t="n">
        <v>5</v>
      </c>
      <c r="E204" s="6" t="n">
        <v>1600</v>
      </c>
      <c r="F204" s="5"/>
      <c r="G204" s="5"/>
      <c r="H204" s="5"/>
      <c r="I204" s="5"/>
      <c r="J204" s="5"/>
      <c r="K204" s="5"/>
      <c r="L204" s="5"/>
      <c r="M204" s="5"/>
      <c r="N204" s="5"/>
    </row>
    <row r="205" customFormat="false" ht="15" hidden="false" customHeight="false" outlineLevel="0" collapsed="false">
      <c r="A205" s="5" t="s">
        <v>435</v>
      </c>
      <c r="B205" s="5" t="s">
        <v>386</v>
      </c>
      <c r="C205" s="5" t="s">
        <v>387</v>
      </c>
      <c r="D205" s="6" t="n">
        <v>5</v>
      </c>
      <c r="E205" s="6" t="n">
        <v>1450</v>
      </c>
      <c r="F205" s="5"/>
      <c r="G205" s="5"/>
      <c r="H205" s="5"/>
      <c r="I205" s="5"/>
      <c r="J205" s="5"/>
      <c r="K205" s="5"/>
      <c r="L205" s="5"/>
      <c r="M205" s="5"/>
      <c r="N205" s="5"/>
    </row>
    <row r="206" customFormat="false" ht="15" hidden="false" customHeight="false" outlineLevel="0" collapsed="false">
      <c r="A206" s="5" t="s">
        <v>436</v>
      </c>
      <c r="B206" s="5" t="s">
        <v>386</v>
      </c>
      <c r="C206" s="5" t="s">
        <v>387</v>
      </c>
      <c r="D206" s="6" t="n">
        <v>3</v>
      </c>
      <c r="E206" s="6" t="n">
        <v>1419</v>
      </c>
      <c r="F206" s="5"/>
      <c r="G206" s="5"/>
      <c r="H206" s="5"/>
      <c r="I206" s="5"/>
      <c r="J206" s="5"/>
      <c r="K206" s="5"/>
      <c r="L206" s="5"/>
      <c r="M206" s="5"/>
      <c r="N206" s="5"/>
    </row>
    <row r="207" customFormat="false" ht="15" hidden="false" customHeight="false" outlineLevel="0" collapsed="false">
      <c r="A207" s="5" t="s">
        <v>437</v>
      </c>
      <c r="B207" s="5" t="s">
        <v>386</v>
      </c>
      <c r="C207" s="5" t="s">
        <v>387</v>
      </c>
      <c r="D207" s="6" t="n">
        <v>4</v>
      </c>
      <c r="E207" s="6" t="n">
        <v>1280</v>
      </c>
      <c r="F207" s="5"/>
      <c r="G207" s="5"/>
      <c r="H207" s="5"/>
      <c r="I207" s="5"/>
      <c r="J207" s="5"/>
      <c r="K207" s="5"/>
      <c r="L207" s="5"/>
      <c r="M207" s="5"/>
      <c r="N207" s="5"/>
    </row>
    <row r="208" customFormat="false" ht="15" hidden="false" customHeight="false" outlineLevel="0" collapsed="false">
      <c r="A208" s="5" t="s">
        <v>438</v>
      </c>
      <c r="B208" s="5" t="s">
        <v>386</v>
      </c>
      <c r="C208" s="5" t="s">
        <v>387</v>
      </c>
      <c r="D208" s="6" t="n">
        <v>4</v>
      </c>
      <c r="E208" s="6" t="n">
        <v>1280</v>
      </c>
      <c r="F208" s="5"/>
      <c r="G208" s="5"/>
      <c r="H208" s="5"/>
      <c r="I208" s="5"/>
      <c r="J208" s="5"/>
      <c r="K208" s="5"/>
      <c r="L208" s="5"/>
      <c r="M208" s="5"/>
      <c r="N208" s="5"/>
    </row>
    <row r="209" customFormat="false" ht="15" hidden="false" customHeight="false" outlineLevel="0" collapsed="false">
      <c r="A209" s="5" t="s">
        <v>439</v>
      </c>
      <c r="B209" s="5" t="s">
        <v>386</v>
      </c>
      <c r="C209" s="5" t="s">
        <v>387</v>
      </c>
      <c r="D209" s="6" t="n">
        <v>1</v>
      </c>
      <c r="E209" s="6" t="n">
        <v>1200</v>
      </c>
      <c r="F209" s="5"/>
      <c r="G209" s="5"/>
      <c r="H209" s="5"/>
      <c r="I209" s="5"/>
      <c r="J209" s="5"/>
      <c r="K209" s="5"/>
      <c r="L209" s="5"/>
      <c r="M209" s="5"/>
      <c r="N209" s="5"/>
    </row>
    <row r="210" customFormat="false" ht="15" hidden="false" customHeight="false" outlineLevel="0" collapsed="false">
      <c r="A210" s="5" t="s">
        <v>440</v>
      </c>
      <c r="B210" s="5" t="s">
        <v>386</v>
      </c>
      <c r="C210" s="5" t="s">
        <v>387</v>
      </c>
      <c r="D210" s="6" t="n">
        <v>2</v>
      </c>
      <c r="E210" s="6" t="n">
        <v>1182</v>
      </c>
      <c r="F210" s="5"/>
      <c r="G210" s="5"/>
      <c r="H210" s="5"/>
      <c r="I210" s="5"/>
      <c r="J210" s="5"/>
      <c r="K210" s="5"/>
      <c r="L210" s="5"/>
      <c r="M210" s="5"/>
      <c r="N210" s="5"/>
    </row>
    <row r="211" customFormat="false" ht="15" hidden="false" customHeight="false" outlineLevel="0" collapsed="false">
      <c r="A211" s="15" t="s">
        <v>441</v>
      </c>
      <c r="B211" s="5" t="s">
        <v>386</v>
      </c>
      <c r="C211" s="5" t="s">
        <v>387</v>
      </c>
      <c r="D211" s="6" t="n">
        <v>1</v>
      </c>
      <c r="E211" s="6" t="n">
        <v>930</v>
      </c>
      <c r="F211" s="5"/>
      <c r="G211" s="5"/>
      <c r="H211" s="5"/>
      <c r="I211" s="5"/>
      <c r="J211" s="5"/>
      <c r="K211" s="5"/>
      <c r="L211" s="5"/>
      <c r="M211" s="5"/>
      <c r="N211" s="5"/>
    </row>
    <row r="212" customFormat="false" ht="15" hidden="false" customHeight="false" outlineLevel="0" collapsed="false">
      <c r="A212" s="5" t="s">
        <v>442</v>
      </c>
      <c r="B212" s="5" t="s">
        <v>386</v>
      </c>
      <c r="C212" s="5" t="s">
        <v>387</v>
      </c>
      <c r="D212" s="6" t="n">
        <v>2</v>
      </c>
      <c r="E212" s="6" t="n">
        <v>378</v>
      </c>
      <c r="F212" s="5"/>
      <c r="G212" s="5"/>
      <c r="H212" s="5"/>
      <c r="I212" s="5"/>
      <c r="J212" s="5"/>
      <c r="K212" s="5"/>
      <c r="L212" s="5"/>
      <c r="M212" s="5"/>
      <c r="N212" s="5"/>
    </row>
    <row r="213" customFormat="false" ht="15" hidden="false" customHeight="false" outlineLevel="0" collapsed="false">
      <c r="A213" s="5" t="s">
        <v>443</v>
      </c>
      <c r="B213" s="5" t="s">
        <v>386</v>
      </c>
      <c r="C213" s="5" t="s">
        <v>387</v>
      </c>
      <c r="D213" s="6" t="n">
        <v>1</v>
      </c>
      <c r="E213" s="6" t="n">
        <v>320</v>
      </c>
      <c r="F213" s="5"/>
      <c r="G213" s="5"/>
      <c r="H213" s="5"/>
      <c r="I213" s="5"/>
      <c r="J213" s="5"/>
      <c r="K213" s="5"/>
      <c r="L213" s="5"/>
      <c r="M213" s="5"/>
      <c r="N213" s="5"/>
    </row>
    <row r="214" customFormat="false" ht="15" hidden="false" customHeight="false" outlineLevel="0" collapsed="false">
      <c r="A214" s="5" t="s">
        <v>444</v>
      </c>
      <c r="B214" s="5" t="s">
        <v>386</v>
      </c>
      <c r="C214" s="5" t="s">
        <v>387</v>
      </c>
      <c r="D214" s="6" t="n">
        <v>1</v>
      </c>
      <c r="E214" s="6" t="n">
        <v>273</v>
      </c>
      <c r="F214" s="5"/>
      <c r="G214" s="5"/>
      <c r="H214" s="5"/>
      <c r="I214" s="5"/>
      <c r="J214" s="5"/>
      <c r="K214" s="5"/>
      <c r="L214" s="5"/>
      <c r="M214" s="5"/>
      <c r="N214" s="5"/>
    </row>
    <row r="215" customFormat="false" ht="15" hidden="false" customHeight="false" outlineLevel="0" collapsed="false">
      <c r="A215" s="15" t="s">
        <v>445</v>
      </c>
      <c r="B215" s="5" t="s">
        <v>386</v>
      </c>
      <c r="C215" s="5" t="s">
        <v>387</v>
      </c>
      <c r="D215" s="6" t="n">
        <v>3</v>
      </c>
      <c r="E215" s="6" t="n">
        <v>135</v>
      </c>
      <c r="F215" s="5"/>
      <c r="G215" s="5"/>
      <c r="H215" s="5"/>
      <c r="I215" s="5"/>
      <c r="J215" s="5"/>
      <c r="K215" s="5"/>
      <c r="L215" s="5"/>
      <c r="M215" s="5"/>
      <c r="N215" s="5"/>
    </row>
    <row r="216" customFormat="false" ht="15" hidden="false" customHeight="false" outlineLevel="0" collapsed="false">
      <c r="A216" s="15" t="s">
        <v>446</v>
      </c>
      <c r="B216" s="5" t="s">
        <v>386</v>
      </c>
      <c r="C216" s="5" t="s">
        <v>387</v>
      </c>
      <c r="D216" s="6" t="n">
        <v>50</v>
      </c>
      <c r="E216" s="6" t="n">
        <v>-9100</v>
      </c>
      <c r="F216" s="5"/>
      <c r="G216" s="5"/>
      <c r="H216" s="5"/>
      <c r="I216" s="5"/>
      <c r="J216" s="5"/>
      <c r="K216" s="5"/>
      <c r="L216" s="5"/>
      <c r="M216" s="5"/>
      <c r="N216" s="5"/>
    </row>
    <row r="217" customFormat="false" ht="15" hidden="false" customHeight="false" outlineLevel="0" collapsed="false">
      <c r="A217" s="9" t="s">
        <v>447</v>
      </c>
      <c r="B217" s="13"/>
      <c r="C217" s="13"/>
      <c r="D217" s="38" t="n">
        <f aca="false">SUM(D5:D216)</f>
        <v>53837</v>
      </c>
      <c r="E217" s="38" t="n">
        <f aca="false">SUM(E5:E216)</f>
        <v>14102442</v>
      </c>
      <c r="F217" s="13"/>
      <c r="G217" s="13"/>
      <c r="H217" s="13"/>
      <c r="I217" s="25" t="n">
        <f aca="false">SUM(I5:I216)</f>
        <v>388119</v>
      </c>
      <c r="J217" s="38" t="n">
        <f aca="false">SUM(J5:J216)</f>
        <v>11399748</v>
      </c>
      <c r="K217" s="13"/>
      <c r="L217" s="13"/>
      <c r="M217" s="13"/>
      <c r="N217" s="13"/>
    </row>
    <row r="218" customFormat="false" ht="15" hidden="false" customHeight="false" outlineLevel="0" collapsed="false">
      <c r="A218" s="27" t="s">
        <v>448</v>
      </c>
    </row>
  </sheetData>
  <autoFilter ref="A4:N2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2026-10-11T12:55:04Z</dcterms:created>
  <dc:creator>openpyxl</dc:creator>
  <dc:description/>
  <dc:language>en-US</dc:language>
  <cp:lastModifiedBy/>
  <dcterms:modified xsi:type="dcterms:W3CDTF">2026-10-11T12:55:04Z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