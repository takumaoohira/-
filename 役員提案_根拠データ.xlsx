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" sheetId="1" state="visible" r:id="rId3"/>
    <sheet name="品目別試算" sheetId="2" state="visible" r:id="rId4"/>
    <sheet name="効果サマリー" sheetId="3" state="visible" r:id="rId5"/>
    <sheet name="原価率プラン" sheetId="4" state="visible" r:id="rId6"/>
    <sheet name="要因分解" sheetId="5" state="visible" r:id="rId7"/>
    <sheet name="競合価格" sheetId="6" state="visible" r:id="rId8"/>
  </sheets>
  <definedNames>
    <definedName function="false" hidden="true" localSheetId="1" name="_xlnm._FilterDatabase" vbProcedure="false">品目別試算!$A$4:$P$155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<sst xmlns="http://schemas.openxmlformats.org/spreadsheetml/2006/main" count="709" uniqueCount="457">
  <si>
    <t xml:space="preserve">前提条件（黄色セルを変更すると全シートが再計算されます）</t>
  </si>
  <si>
    <r>
      <rPr>
        <sz val="9"/>
        <color rgb="FF7F7F7F"/>
        <rFont val="WenQuanYi Zen Hei"/>
        <family val="2"/>
      </rPr>
      <t xml:space="preserve">出典：予実管理表</t>
    </r>
    <r>
      <rPr>
        <sz val="9"/>
        <color rgb="FF7F7F7F"/>
        <rFont val="Meiryo UI"/>
        <family val="0"/>
        <charset val="1"/>
      </rPr>
      <t xml:space="preserve">2026</t>
    </r>
    <r>
      <rPr>
        <sz val="9"/>
        <color rgb="FF7F7F7F"/>
        <rFont val="WenQuanYi Zen Hei"/>
        <family val="2"/>
      </rPr>
      <t xml:space="preserve">年</t>
    </r>
    <r>
      <rPr>
        <sz val="9"/>
        <color rgb="FF7F7F7F"/>
        <rFont val="Meiryo UI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月（累計＝</t>
    </r>
    <r>
      <rPr>
        <sz val="9"/>
        <color rgb="FF7F7F7F"/>
        <rFont val="Meiryo UI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〜</t>
    </r>
    <r>
      <rPr>
        <sz val="9"/>
        <color rgb="FF7F7F7F"/>
        <rFont val="Meiryo UI"/>
        <family val="0"/>
        <charset val="1"/>
      </rPr>
      <t xml:space="preserve">9</t>
    </r>
    <r>
      <rPr>
        <sz val="9"/>
        <color rgb="FF7F7F7F"/>
        <rFont val="WenQuanYi Zen Hei"/>
        <family val="2"/>
      </rPr>
      <t xml:space="preserve">月・千円）／期間報（商品別・分類別）</t>
    </r>
    <r>
      <rPr>
        <sz val="9"/>
        <color rgb="FF7F7F7F"/>
        <rFont val="Meiryo UI"/>
        <family val="0"/>
        <charset val="1"/>
      </rPr>
      <t xml:space="preserve">2026/4/1</t>
    </r>
    <r>
      <rPr>
        <sz val="9"/>
        <color rgb="FF7F7F7F"/>
        <rFont val="WenQuanYi Zen Hei"/>
        <family val="2"/>
      </rPr>
      <t xml:space="preserve">〜</t>
    </r>
    <r>
      <rPr>
        <sz val="9"/>
        <color rgb="FF7F7F7F"/>
        <rFont val="Meiryo UI"/>
        <family val="0"/>
        <charset val="1"/>
      </rPr>
      <t xml:space="preserve">6/30 </t>
    </r>
    <r>
      <rPr>
        <sz val="9"/>
        <color rgb="FF7F7F7F"/>
        <rFont val="WenQuanYi Zen Hei"/>
        <family val="2"/>
      </rPr>
      <t xml:space="preserve">税抜</t>
    </r>
  </si>
  <si>
    <t xml:space="preserve">項目</t>
  </si>
  <si>
    <t xml:space="preserve">値</t>
  </si>
  <si>
    <t xml:space="preserve">単位</t>
  </si>
  <si>
    <t xml:space="preserve">出典・根拠</t>
  </si>
  <si>
    <t xml:space="preserve">上期 飲食売上 実績</t>
  </si>
  <si>
    <t xml:space="preserve">千円</t>
  </si>
  <si>
    <t xml:space="preserve">予実管理表 累計</t>
  </si>
  <si>
    <t xml:space="preserve">上期 飲食売上原価 実績</t>
  </si>
  <si>
    <t xml:space="preserve">上期 飲食売上 予算</t>
  </si>
  <si>
    <t xml:space="preserve">上期 飲食売上原価 予算</t>
  </si>
  <si>
    <t xml:space="preserve">上期 コラボ売上 実績</t>
  </si>
  <si>
    <t xml:space="preserve">上期 コラボ売上 予算</t>
  </si>
  <si>
    <t xml:space="preserve">上期 コラボ原価 予算</t>
  </si>
  <si>
    <t xml:space="preserve">上期 食事（コラボ抜き）売上 実績</t>
  </si>
  <si>
    <t xml:space="preserve">上期 食事 売上 予算</t>
  </si>
  <si>
    <t xml:space="preserve">上期 食事 原価 予算</t>
  </si>
  <si>
    <t xml:space="preserve">期首 飲食棚卸</t>
  </si>
  <si>
    <t xml:space="preserve">予実管理表</t>
  </si>
  <si>
    <t xml:space="preserve">上期末 飲食棚卸</t>
  </si>
  <si>
    <r>
      <rPr>
        <sz val="11"/>
        <color rgb="FF000000"/>
        <rFont val="Meiryo UI"/>
        <family val="0"/>
        <charset val="1"/>
      </rPr>
      <t xml:space="preserve">4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6</t>
    </r>
    <r>
      <rPr>
        <sz val="11"/>
        <color rgb="FF000000"/>
        <rFont val="WenQuanYi Zen Hei"/>
        <family val="2"/>
      </rPr>
      <t xml:space="preserve">月 コラボ抜き売上（</t>
    </r>
    <r>
      <rPr>
        <sz val="11"/>
        <color rgb="FF000000"/>
        <rFont val="Meiryo UI"/>
        <family val="0"/>
        <charset val="1"/>
      </rPr>
      <t xml:space="preserve">POS</t>
    </r>
    <r>
      <rPr>
        <sz val="11"/>
        <color rgb="FF000000"/>
        <rFont val="WenQuanYi Zen Hei"/>
        <family val="2"/>
      </rPr>
      <t xml:space="preserve">）</t>
    </r>
  </si>
  <si>
    <t xml:space="preserve">円</t>
  </si>
  <si>
    <t xml:space="preserve">期間報 分類別（コラボ以外の合計）</t>
  </si>
  <si>
    <r>
      <rPr>
        <sz val="11"/>
        <color rgb="FF000000"/>
        <rFont val="WenQuanYi Zen Hei"/>
        <family val="2"/>
      </rPr>
      <t xml:space="preserve">価格弾力性（値上げ率</t>
    </r>
    <r>
      <rPr>
        <sz val="11"/>
        <color rgb="FF000000"/>
        <rFont val="Meiryo UI"/>
        <family val="0"/>
        <charset val="1"/>
      </rPr>
      <t xml:space="preserve">1%</t>
    </r>
    <r>
      <rPr>
        <sz val="11"/>
        <color rgb="FF000000"/>
        <rFont val="WenQuanYi Zen Hei"/>
        <family val="2"/>
      </rPr>
      <t xml:space="preserve">あたりの出数変化率）</t>
    </r>
  </si>
  <si>
    <t xml:space="preserve">—</t>
  </si>
  <si>
    <r>
      <rPr>
        <sz val="11"/>
        <color rgb="FF000000"/>
        <rFont val="WenQuanYi Zen Hei"/>
        <family val="2"/>
      </rPr>
      <t xml:space="preserve">仮定。</t>
    </r>
    <r>
      <rPr>
        <sz val="11"/>
        <color rgb="FF000000"/>
        <rFont val="Meiryo UI"/>
        <family val="0"/>
        <charset val="1"/>
      </rPr>
      <t xml:space="preserve">0</t>
    </r>
    <r>
      <rPr>
        <sz val="11"/>
        <color rgb="FF000000"/>
        <rFont val="WenQuanYi Zen Hei"/>
        <family val="2"/>
      </rPr>
      <t xml:space="preserve">＝出数変化なし。</t>
    </r>
    <r>
      <rPr>
        <sz val="11"/>
        <color rgb="FF000000"/>
        <rFont val="Meiryo UI"/>
        <family val="0"/>
        <charset val="1"/>
      </rPr>
      <t xml:space="preserve">-1.0</t>
    </r>
    <r>
      <rPr>
        <sz val="11"/>
        <color rgb="FF000000"/>
        <rFont val="WenQuanYi Zen Hei"/>
        <family val="2"/>
      </rPr>
      <t xml:space="preserve">＝値上げ率と同率で出数減</t>
    </r>
  </si>
  <si>
    <t xml:space="preserve">下期の売上・出数水準（上期比）</t>
  </si>
  <si>
    <t xml:space="preserve">仮定。下期は上期と同水準</t>
  </si>
  <si>
    <r>
      <rPr>
        <sz val="11"/>
        <color rgb="FF000000"/>
        <rFont val="WenQuanYi Zen Hei"/>
        <family val="2"/>
      </rPr>
      <t xml:space="preserve">下期の在庫増減（千円・増加は</t>
    </r>
    <r>
      <rPr>
        <sz val="11"/>
        <color rgb="FF000000"/>
        <rFont val="Meiryo UI"/>
        <family val="0"/>
        <charset val="1"/>
      </rPr>
      <t xml:space="preserve">+</t>
    </r>
    <r>
      <rPr>
        <sz val="11"/>
        <color rgb="FF000000"/>
        <rFont val="WenQuanYi Zen Hei"/>
        <family val="2"/>
      </rPr>
      <t xml:space="preserve">）</t>
    </r>
  </si>
  <si>
    <t xml:space="preserve">仮定。在庫取崩しなし（横ばい）</t>
  </si>
  <si>
    <t xml:space="preserve">予算原価率</t>
  </si>
  <si>
    <r>
      <rPr>
        <sz val="11"/>
        <color rgb="FF000000"/>
        <rFont val="WenQuanYi Zen Hei"/>
        <family val="2"/>
      </rPr>
      <t xml:space="preserve">予算原価</t>
    </r>
    <r>
      <rPr>
        <sz val="11"/>
        <color rgb="FF000000"/>
        <rFont val="Meiryo UI"/>
        <family val="0"/>
        <charset val="1"/>
      </rPr>
      <t xml:space="preserve">÷</t>
    </r>
    <r>
      <rPr>
        <sz val="11"/>
        <color rgb="FF000000"/>
        <rFont val="WenQuanYi Zen Hei"/>
        <family val="2"/>
      </rPr>
      <t xml:space="preserve">予算売上</t>
    </r>
  </si>
  <si>
    <t xml:space="preserve">上期 原価率 実績</t>
  </si>
  <si>
    <r>
      <rPr>
        <sz val="11"/>
        <color rgb="FF000000"/>
        <rFont val="WenQuanYi Zen Hei"/>
        <family val="2"/>
      </rPr>
      <t xml:space="preserve">半期換算係数（</t>
    </r>
    <r>
      <rPr>
        <sz val="11"/>
        <color rgb="FF000000"/>
        <rFont val="Meiryo UI"/>
        <family val="0"/>
        <charset val="1"/>
      </rPr>
      <t xml:space="preserve">4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6</t>
    </r>
    <r>
      <rPr>
        <sz val="11"/>
        <color rgb="FF000000"/>
        <rFont val="WenQuanYi Zen Hei"/>
        <family val="2"/>
      </rPr>
      <t xml:space="preserve">月</t>
    </r>
    <r>
      <rPr>
        <sz val="11"/>
        <color rgb="FF000000"/>
        <rFont val="Meiryo UI"/>
        <family val="0"/>
        <charset val="1"/>
      </rPr>
      <t xml:space="preserve">POS→</t>
    </r>
    <r>
      <rPr>
        <sz val="11"/>
        <color rgb="FF000000"/>
        <rFont val="WenQuanYi Zen Hei"/>
        <family val="2"/>
      </rPr>
      <t xml:space="preserve">半期千円）</t>
    </r>
  </si>
  <si>
    <t xml:space="preserve">倍</t>
  </si>
  <si>
    <r>
      <rPr>
        <sz val="11"/>
        <color rgb="FF000000"/>
        <rFont val="WenQuanYi Zen Hei"/>
        <family val="2"/>
      </rPr>
      <t xml:space="preserve">上期食事売上</t>
    </r>
    <r>
      <rPr>
        <sz val="11"/>
        <color rgb="FF000000"/>
        <rFont val="Meiryo UI"/>
        <family val="0"/>
        <charset val="1"/>
      </rPr>
      <t xml:space="preserve">÷4</t>
    </r>
    <r>
      <rPr>
        <sz val="11"/>
        <color rgb="FF000000"/>
        <rFont val="WenQuanYi Zen Hei"/>
        <family val="2"/>
      </rPr>
      <t xml:space="preserve">〜</t>
    </r>
    <r>
      <rPr>
        <sz val="11"/>
        <color rgb="FF000000"/>
        <rFont val="Meiryo UI"/>
        <family val="0"/>
        <charset val="1"/>
      </rPr>
      <t xml:space="preserve">6</t>
    </r>
    <r>
      <rPr>
        <sz val="11"/>
        <color rgb="FF000000"/>
        <rFont val="WenQuanYi Zen Hei"/>
        <family val="2"/>
      </rPr>
      <t xml:space="preserve">月コラボ抜き売上</t>
    </r>
  </si>
  <si>
    <t xml:space="preserve">上期の在庫取崩し額</t>
  </si>
  <si>
    <t xml:space="preserve">期首−期末。原価を一時的に押し上げ</t>
  </si>
  <si>
    <r>
      <rPr>
        <b val="true"/>
        <sz val="14"/>
        <color rgb="FF0F3D3E"/>
        <rFont val="WenQuanYi Zen Hei"/>
        <family val="2"/>
      </rPr>
      <t xml:space="preserve">品目別 出数ベース試算（</t>
    </r>
    <r>
      <rPr>
        <b val="true"/>
        <sz val="14"/>
        <color rgb="FF0F3D3E"/>
        <rFont val="Meiryo UI"/>
        <family val="0"/>
        <charset val="1"/>
      </rPr>
      <t xml:space="preserve">2026</t>
    </r>
    <r>
      <rPr>
        <b val="true"/>
        <sz val="14"/>
        <color rgb="FF0F3D3E"/>
        <rFont val="WenQuanYi Zen Hei"/>
        <family val="2"/>
      </rPr>
      <t xml:space="preserve">年</t>
    </r>
    <r>
      <rPr>
        <b val="true"/>
        <sz val="14"/>
        <color rgb="FF0F3D3E"/>
        <rFont val="Meiryo UI"/>
        <family val="0"/>
        <charset val="1"/>
      </rPr>
      <t xml:space="preserve">4</t>
    </r>
    <r>
      <rPr>
        <b val="true"/>
        <sz val="14"/>
        <color rgb="FF0F3D3E"/>
        <rFont val="WenQuanYi Zen Hei"/>
        <family val="2"/>
      </rPr>
      <t xml:space="preserve">〜</t>
    </r>
    <r>
      <rPr>
        <b val="true"/>
        <sz val="14"/>
        <color rgb="FF0F3D3E"/>
        <rFont val="Meiryo UI"/>
        <family val="0"/>
        <charset val="1"/>
      </rPr>
      <t xml:space="preserve">6</t>
    </r>
    <r>
      <rPr>
        <b val="true"/>
        <sz val="14"/>
        <color rgb="FF0F3D3E"/>
        <rFont val="WenQuanYi Zen Hei"/>
        <family val="2"/>
      </rPr>
      <t xml:space="preserve">月 実績出数）</t>
    </r>
  </si>
  <si>
    <r>
      <rPr>
        <sz val="9"/>
        <color rgb="FF7F7F7F"/>
        <rFont val="Meiryo UI"/>
        <family val="0"/>
        <charset val="1"/>
      </rPr>
      <t xml:space="preserve">A</t>
    </r>
    <r>
      <rPr>
        <sz val="9"/>
        <color rgb="FF7F7F7F"/>
        <rFont val="WenQuanYi Zen Hei"/>
        <family val="2"/>
      </rPr>
      <t xml:space="preserve">案＝現行改定案／</t>
    </r>
    <r>
      <rPr>
        <sz val="9"/>
        <color rgb="FF7F7F7F"/>
        <rFont val="Meiryo UI"/>
        <family val="0"/>
        <charset val="1"/>
      </rPr>
      <t xml:space="preserve">B</t>
    </r>
    <r>
      <rPr>
        <sz val="9"/>
        <color rgb="FF7F7F7F"/>
        <rFont val="WenQuanYi Zen Hei"/>
        <family val="2"/>
      </rPr>
      <t xml:space="preserve">案＝強化</t>
    </r>
    <r>
      <rPr>
        <sz val="9"/>
        <color rgb="FF7F7F7F"/>
        <rFont val="Meiryo UI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品を上乗せ。想定出数＝実績出数</t>
    </r>
    <r>
      <rPr>
        <sz val="9"/>
        <color rgb="FF7F7F7F"/>
        <rFont val="Meiryo UI"/>
        <family val="0"/>
        <charset val="1"/>
      </rPr>
      <t xml:space="preserve">×(1</t>
    </r>
    <r>
      <rPr>
        <sz val="9"/>
        <color rgb="FF7F7F7F"/>
        <rFont val="WenQuanYi Zen Hei"/>
        <family val="2"/>
      </rPr>
      <t xml:space="preserve">＋弾力性</t>
    </r>
    <r>
      <rPr>
        <sz val="9"/>
        <color rgb="FF7F7F7F"/>
        <rFont val="Meiryo UI"/>
        <family val="0"/>
        <charset val="1"/>
      </rPr>
      <t xml:space="preserve">×</t>
    </r>
    <r>
      <rPr>
        <sz val="9"/>
        <color rgb="FF7F7F7F"/>
        <rFont val="WenQuanYi Zen Hei"/>
        <family val="2"/>
      </rPr>
      <t xml:space="preserve">値上げ率</t>
    </r>
    <r>
      <rPr>
        <sz val="9"/>
        <color rgb="FF7F7F7F"/>
        <rFont val="Meiryo UI"/>
        <family val="0"/>
        <charset val="1"/>
      </rPr>
      <t xml:space="preserve">)</t>
    </r>
  </si>
  <si>
    <r>
      <rPr>
        <b val="true"/>
        <sz val="11"/>
        <color rgb="FFFFFFFF"/>
        <rFont val="Meiryo UI"/>
        <family val="0"/>
        <charset val="1"/>
      </rPr>
      <t xml:space="preserve">POS</t>
    </r>
    <r>
      <rPr>
        <b val="true"/>
        <sz val="11"/>
        <color rgb="FFFFFFFF"/>
        <rFont val="WenQuanYi Zen Hei"/>
        <family val="2"/>
      </rPr>
      <t xml:space="preserve">商品名</t>
    </r>
  </si>
  <si>
    <t xml:space="preserve">メニュー名</t>
  </si>
  <si>
    <t xml:space="preserve">分類</t>
  </si>
  <si>
    <r>
      <rPr>
        <b val="true"/>
        <sz val="11"/>
        <color rgb="FFFFFFFF"/>
        <rFont val="Meiryo UI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〜</t>
    </r>
    <r>
      <rPr>
        <b val="true"/>
        <sz val="11"/>
        <color rgb="FFFFFFFF"/>
        <rFont val="Meiryo UI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月出数</t>
    </r>
  </si>
  <si>
    <t xml:space="preserve">改定前 税抜</t>
  </si>
  <si>
    <r>
      <rPr>
        <b val="true"/>
        <sz val="11"/>
        <color rgb="FFFFFFFF"/>
        <rFont val="Meiryo UI"/>
        <family val="0"/>
        <charset val="1"/>
      </rPr>
      <t xml:space="preserve">A</t>
    </r>
    <r>
      <rPr>
        <b val="true"/>
        <sz val="11"/>
        <color rgb="FFFFFFFF"/>
        <rFont val="WenQuanYi Zen Hei"/>
        <family val="2"/>
      </rPr>
      <t xml:space="preserve">案 税抜</t>
    </r>
  </si>
  <si>
    <r>
      <rPr>
        <b val="true"/>
        <sz val="11"/>
        <color rgb="FFFFFFFF"/>
        <rFont val="Meiryo UI"/>
        <family val="0"/>
        <charset val="1"/>
      </rPr>
      <t xml:space="preserve">B</t>
    </r>
    <r>
      <rPr>
        <b val="true"/>
        <sz val="11"/>
        <color rgb="FFFFFFFF"/>
        <rFont val="WenQuanYi Zen Hei"/>
        <family val="2"/>
      </rPr>
      <t xml:space="preserve">案 税抜</t>
    </r>
  </si>
  <si>
    <t xml:space="preserve">原価単価</t>
  </si>
  <si>
    <t xml:space="preserve">値上げ率</t>
  </si>
  <si>
    <t xml:space="preserve">想定出数</t>
  </si>
  <si>
    <t xml:space="preserve">売上 改定前</t>
  </si>
  <si>
    <t xml:space="preserve">売上 改定後</t>
  </si>
  <si>
    <t xml:space="preserve">原価 改定前</t>
  </si>
  <si>
    <t xml:space="preserve">原価 改定後</t>
  </si>
  <si>
    <t xml:space="preserve">粗利増減</t>
  </si>
  <si>
    <r>
      <rPr>
        <b val="true"/>
        <sz val="11"/>
        <color rgb="FFFFFFFF"/>
        <rFont val="Meiryo UI"/>
        <family val="0"/>
        <charset val="1"/>
      </rPr>
      <t xml:space="preserve">B</t>
    </r>
    <r>
      <rPr>
        <b val="true"/>
        <sz val="11"/>
        <color rgb="FFFFFFFF"/>
        <rFont val="WenQuanYi Zen Hei"/>
        <family val="2"/>
      </rPr>
      <t xml:space="preserve">案で上乗せ</t>
    </r>
  </si>
  <si>
    <t xml:space="preserve">プレミアムロースカツカレー</t>
  </si>
  <si>
    <t xml:space="preserve">プレミアムロースかつカレー</t>
  </si>
  <si>
    <t xml:space="preserve">ご飯類</t>
  </si>
  <si>
    <t xml:space="preserve">●</t>
  </si>
  <si>
    <t xml:space="preserve">サーモンアボカドボウルライス</t>
  </si>
  <si>
    <t xml:space="preserve">サーモンアボカドベジボウル</t>
  </si>
  <si>
    <t xml:space="preserve">バターチキンカレー</t>
  </si>
  <si>
    <t xml:space="preserve">ローストビーフボウルライス</t>
  </si>
  <si>
    <t xml:space="preserve">ローストビーフベジボウル</t>
  </si>
  <si>
    <r>
      <rPr>
        <sz val="11"/>
        <color rgb="FF000000"/>
        <rFont val="Meiryo UI"/>
        <family val="0"/>
        <charset val="1"/>
      </rPr>
      <t xml:space="preserve">today`s</t>
    </r>
    <r>
      <rPr>
        <sz val="11"/>
        <color rgb="FF000000"/>
        <rFont val="WenQuanYi Zen Hei"/>
        <family val="2"/>
      </rPr>
      <t xml:space="preserve">カレー</t>
    </r>
  </si>
  <si>
    <r>
      <rPr>
        <sz val="11"/>
        <color rgb="FF000000"/>
        <rFont val="Meiryo UI"/>
        <family val="0"/>
        <charset val="1"/>
      </rPr>
      <t xml:space="preserve">today's</t>
    </r>
    <r>
      <rPr>
        <sz val="11"/>
        <color rgb="FF000000"/>
        <rFont val="WenQuanYi Zen Hei"/>
        <family val="2"/>
      </rPr>
      <t xml:space="preserve">カレー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</si>
  <si>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ハンバーグディッシュ</t>
    </r>
  </si>
  <si>
    <t xml:space="preserve">ハンバーグディッシュ（デミソース）</t>
  </si>
  <si>
    <t xml:space="preserve">近江牛ミンチカレー</t>
  </si>
  <si>
    <t xml:space="preserve">ガーリックシュリンプボウルライス</t>
  </si>
  <si>
    <t xml:space="preserve">ガーリックシュリンプベジボウル</t>
  </si>
  <si>
    <t xml:space="preserve">ガーリックステーキプレート</t>
  </si>
  <si>
    <r>
      <rPr>
        <sz val="11"/>
        <color rgb="FF000000"/>
        <rFont val="Meiryo UI"/>
        <family val="0"/>
        <charset val="1"/>
      </rPr>
      <t xml:space="preserve">today`s</t>
    </r>
    <r>
      <rPr>
        <sz val="11"/>
        <color rgb="FF000000"/>
        <rFont val="WenQuanYi Zen Hei"/>
        <family val="2"/>
      </rPr>
      <t xml:space="preserve">カレーランチ</t>
    </r>
  </si>
  <si>
    <r>
      <rPr>
        <sz val="11"/>
        <color rgb="FF000000"/>
        <rFont val="Meiryo UI"/>
        <family val="0"/>
        <charset val="1"/>
      </rPr>
      <t xml:space="preserve">today's</t>
    </r>
    <r>
      <rPr>
        <sz val="11"/>
        <color rgb="FF000000"/>
        <rFont val="WenQuanYi Zen Hei"/>
        <family val="2"/>
      </rPr>
      <t xml:space="preserve">カレー（ランチセット）</t>
    </r>
  </si>
  <si>
    <t xml:space="preserve">ごはん単品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</si>
  <si>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ポークカツディッシュ</t>
    </r>
  </si>
  <si>
    <t xml:space="preserve">ポークカツディッシュ（デミソース）</t>
  </si>
  <si>
    <t xml:space="preserve">大盛り</t>
  </si>
  <si>
    <t xml:space="preserve">ごはん大盛り</t>
  </si>
  <si>
    <t xml:space="preserve">ポークポパイプレート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</si>
  <si>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チキンディッシュ</t>
    </r>
  </si>
  <si>
    <t xml:space="preserve">チキンディッシュ（トマトソース）</t>
  </si>
  <si>
    <t xml:space="preserve">カルボナーラリゾット</t>
  </si>
  <si>
    <t xml:space="preserve">サーロインステーキ</t>
  </si>
  <si>
    <t xml:space="preserve">ビスクリゾット</t>
  </si>
  <si>
    <t xml:space="preserve">牛タングリル</t>
  </si>
  <si>
    <t xml:space="preserve">仙台牛タンのグリル</t>
  </si>
  <si>
    <t xml:space="preserve">チキンのトマト煮</t>
  </si>
  <si>
    <t xml:space="preserve">チキンのトマト煮込み</t>
  </si>
  <si>
    <t xml:space="preserve">煮込みハンバーグ</t>
  </si>
  <si>
    <t xml:space="preserve">ジャーマンヴルスト</t>
  </si>
  <si>
    <t xml:space="preserve">お肉みっちみち！ジャーマンヴルスト</t>
  </si>
  <si>
    <t xml:space="preserve">カレーリゾット</t>
  </si>
  <si>
    <r>
      <rPr>
        <sz val="11"/>
        <color rgb="FF000000"/>
        <rFont val="WenQuanYi Zen Hei"/>
        <family val="2"/>
      </rPr>
      <t xml:space="preserve">ごはんセット</t>
    </r>
    <r>
      <rPr>
        <sz val="11"/>
        <color rgb="FF000000"/>
        <rFont val="Meiryo UI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味噌汁</t>
    </r>
    <r>
      <rPr>
        <sz val="11"/>
        <color rgb="FF000000"/>
        <rFont val="Meiryo UI"/>
        <family val="0"/>
        <charset val="1"/>
      </rPr>
      <t xml:space="preserve">)</t>
    </r>
  </si>
  <si>
    <t xml:space="preserve">ごはんセット（味噌汁）</t>
  </si>
  <si>
    <r>
      <rPr>
        <sz val="11"/>
        <color rgb="FF000000"/>
        <rFont val="Meiryo UI"/>
        <family val="0"/>
        <charset val="1"/>
      </rPr>
      <t xml:space="preserve">Todays</t>
    </r>
    <r>
      <rPr>
        <sz val="11"/>
        <color rgb="FF000000"/>
        <rFont val="WenQuanYi Zen Hei"/>
        <family val="2"/>
      </rPr>
      <t xml:space="preserve">カレーランチ</t>
    </r>
  </si>
  <si>
    <t xml:space="preserve">カンパーニュスープセット</t>
  </si>
  <si>
    <t xml:space="preserve">カンパーニュ単品</t>
  </si>
  <si>
    <t xml:space="preserve">ご飯大盛り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</si>
  <si>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パイントグラス</t>
    </r>
  </si>
  <si>
    <t xml:space="preserve">アサヒスーパードライ（パイントグラス）</t>
  </si>
  <si>
    <t xml:space="preserve">アルコール</t>
  </si>
  <si>
    <r>
      <rPr>
        <sz val="11"/>
        <color rgb="FF000000"/>
        <rFont val="Meiryo UI"/>
        <family val="0"/>
        <charset val="1"/>
      </rPr>
      <t xml:space="preserve">2025)1010</t>
    </r>
    <r>
      <rPr>
        <sz val="11"/>
        <color rgb="FF000000"/>
        <rFont val="WenQuanYi Zen Hei"/>
        <family val="2"/>
      </rPr>
      <t xml:space="preserve">セット</t>
    </r>
  </si>
  <si>
    <r>
      <rPr>
        <sz val="11"/>
        <color rgb="FF000000"/>
        <rFont val="Meiryo UI"/>
        <family val="0"/>
        <charset val="1"/>
      </rPr>
      <t xml:space="preserve">1010</t>
    </r>
    <r>
      <rPr>
        <sz val="11"/>
        <color rgb="FF000000"/>
        <rFont val="WenQuanYi Zen Hei"/>
        <family val="2"/>
      </rPr>
      <t xml:space="preserve">セット（タパス付）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</si>
  <si>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マルエフ</t>
    </r>
  </si>
  <si>
    <t xml:space="preserve">マルエフ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</si>
  <si>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熟選ビール</t>
    </r>
  </si>
  <si>
    <t xml:space="preserve">熟撰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</si>
  <si>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黒生</t>
    </r>
  </si>
  <si>
    <t xml:space="preserve">黒生</t>
  </si>
  <si>
    <r>
      <rPr>
        <sz val="11"/>
        <color rgb="FF000000"/>
        <rFont val="Meiryo UI"/>
        <family val="0"/>
        <charset val="1"/>
      </rPr>
      <t xml:space="preserve">2025)JUG</t>
    </r>
    <r>
      <rPr>
        <sz val="11"/>
        <color rgb="FF000000"/>
        <rFont val="WenQuanYi Zen Hei"/>
        <family val="2"/>
      </rPr>
      <t xml:space="preserve">ビール</t>
    </r>
  </si>
  <si>
    <r>
      <rPr>
        <sz val="11"/>
        <color rgb="FF000000"/>
        <rFont val="Meiryo UI"/>
        <family val="0"/>
        <charset val="1"/>
      </rPr>
      <t xml:space="preserve">1010JUG</t>
    </r>
    <r>
      <rPr>
        <sz val="11"/>
        <color rgb="FF000000"/>
        <rFont val="WenQuanYi Zen Hei"/>
        <family val="2"/>
      </rPr>
      <t xml:space="preserve">ビール（</t>
    </r>
    <r>
      <rPr>
        <sz val="11"/>
        <color rgb="FF000000"/>
        <rFont val="Meiryo UI"/>
        <family val="0"/>
        <charset val="1"/>
      </rPr>
      <t xml:space="preserve">800ml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</si>
  <si>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ハイボールレギュラー</t>
    </r>
  </si>
  <si>
    <t xml:space="preserve">ハイボール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</si>
  <si>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匠の深絞りレモンサワー</t>
    </r>
  </si>
  <si>
    <t xml:space="preserve">匠の深絞りレモンサワー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</si>
  <si>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ピルスナーウルケル</t>
    </r>
  </si>
  <si>
    <t xml:space="preserve">ピルスナー・ウルケル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</si>
  <si>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塩レモンサワー</t>
    </r>
  </si>
  <si>
    <t xml:space="preserve">塩レモンサワー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</si>
  <si>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ペローニ</t>
    </r>
  </si>
  <si>
    <t xml:space="preserve">ペローニ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</si>
  <si>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シチリアレモンサワー</t>
    </r>
  </si>
  <si>
    <t xml:space="preserve">シチリアレモンサワー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</si>
  <si>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塩ライチサワー</t>
    </r>
  </si>
  <si>
    <t xml:space="preserve">塩ライチサワー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</si>
  <si>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マンゴーサワー</t>
    </r>
  </si>
  <si>
    <t xml:space="preserve">マンゴーサワー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</si>
  <si>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カールスバーグ</t>
    </r>
  </si>
  <si>
    <t xml:space="preserve">カールスバーグ</t>
  </si>
  <si>
    <t xml:space="preserve">新アサヒドライゼロ</t>
  </si>
  <si>
    <t xml:space="preserve">アサヒドライゼロ（ノンアル）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</si>
  <si>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いちごサワー</t>
    </r>
  </si>
  <si>
    <t xml:space="preserve">いちごサワー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</si>
  <si>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ガリゲットブラン グラス</t>
    </r>
  </si>
  <si>
    <r>
      <rPr>
        <sz val="11"/>
        <color rgb="FF000000"/>
        <rFont val="WenQuanYi Zen Hei"/>
        <family val="2"/>
      </rPr>
      <t xml:space="preserve">ガリゲット・バリグール 白（グラス</t>
    </r>
    <r>
      <rPr>
        <sz val="11"/>
        <color rgb="FF000000"/>
        <rFont val="Meiryo UI"/>
        <family val="0"/>
        <charset val="1"/>
      </rPr>
      <t xml:space="preserve">180ml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</si>
  <si>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ガリゲットルージュ グラス</t>
    </r>
  </si>
  <si>
    <r>
      <rPr>
        <sz val="11"/>
        <color rgb="FF000000"/>
        <rFont val="WenQuanYi Zen Hei"/>
        <family val="2"/>
      </rPr>
      <t xml:space="preserve">ガリゲット・バリグール 赤（グラス</t>
    </r>
    <r>
      <rPr>
        <sz val="11"/>
        <color rgb="FF000000"/>
        <rFont val="Meiryo UI"/>
        <family val="0"/>
        <charset val="1"/>
      </rPr>
      <t xml:space="preserve">180ml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</si>
  <si>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フォション大人のミルクティー</t>
    </r>
  </si>
  <si>
    <t xml:space="preserve">フォション大人のミルクティー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</si>
  <si>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カシスオレンジ</t>
    </r>
  </si>
  <si>
    <t xml:space="preserve">カシスオレンジ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</si>
  <si>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セットタパス</t>
    </r>
    <r>
      <rPr>
        <sz val="11"/>
        <color rgb="FF000000"/>
        <rFont val="Meiryo UI"/>
        <family val="0"/>
        <charset val="1"/>
      </rPr>
      <t xml:space="preserve">308</t>
    </r>
    <r>
      <rPr>
        <sz val="11"/>
        <color rgb="FF000000"/>
        <rFont val="WenQuanYi Zen Hei"/>
        <family val="2"/>
      </rPr>
      <t xml:space="preserve">円</t>
    </r>
  </si>
  <si>
    <t xml:space="preserve">タパスセット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</si>
  <si>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モスコミュール</t>
    </r>
  </si>
  <si>
    <t xml:space="preserve">モスコミュール</t>
  </si>
  <si>
    <t xml:space="preserve">ニッカ 弘前 生シードル ロゼ</t>
  </si>
  <si>
    <r>
      <rPr>
        <sz val="11"/>
        <color rgb="FF000000"/>
        <rFont val="WenQuanYi Zen Hei"/>
        <family val="2"/>
      </rPr>
      <t xml:space="preserve">ニッカ 弘前 生シードル ロゼ（</t>
    </r>
    <r>
      <rPr>
        <sz val="11"/>
        <color rgb="FF000000"/>
        <rFont val="Meiryo UI"/>
        <family val="0"/>
        <charset val="1"/>
      </rPr>
      <t xml:space="preserve">200ml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</si>
  <si>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ジンジャーハイレギュラー</t>
    </r>
  </si>
  <si>
    <t xml:space="preserve">ジンジャーハイ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</si>
  <si>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ガリゲットルージュ ボトル</t>
    </r>
  </si>
  <si>
    <r>
      <rPr>
        <sz val="11"/>
        <color rgb="FF000000"/>
        <rFont val="WenQuanYi Zen Hei"/>
        <family val="2"/>
      </rPr>
      <t xml:space="preserve">ガリゲット・バリグール 赤（ボトル</t>
    </r>
    <r>
      <rPr>
        <sz val="11"/>
        <color rgb="FF000000"/>
        <rFont val="Meiryo UI"/>
        <family val="0"/>
        <charset val="1"/>
      </rPr>
      <t xml:space="preserve">750ml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</si>
  <si>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カルピスサワー</t>
    </r>
  </si>
  <si>
    <t xml:space="preserve">カルピスサワー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</si>
  <si>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コークハイレギュラー</t>
    </r>
  </si>
  <si>
    <t xml:space="preserve">コークハイ</t>
  </si>
  <si>
    <t xml:space="preserve">新芳醇梅酒</t>
  </si>
  <si>
    <t xml:space="preserve">芳醇梅酒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</si>
  <si>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マテウスロゼ</t>
    </r>
  </si>
  <si>
    <r>
      <rPr>
        <sz val="11"/>
        <color rgb="FF000000"/>
        <rFont val="WenQuanYi Zen Hei"/>
        <family val="2"/>
      </rPr>
      <t xml:space="preserve">マテウス ロゼ（</t>
    </r>
    <r>
      <rPr>
        <sz val="11"/>
        <color rgb="FF000000"/>
        <rFont val="Meiryo UI"/>
        <family val="0"/>
        <charset val="1"/>
      </rPr>
      <t xml:space="preserve">187ml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</si>
  <si>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塩オレンジサワー</t>
    </r>
  </si>
  <si>
    <t xml:space="preserve">塩オレンジサワー</t>
  </si>
  <si>
    <t xml:space="preserve">新麦焼酎</t>
  </si>
  <si>
    <t xml:space="preserve">麦焼酎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</si>
  <si>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ガリゲットブラン ボトル</t>
    </r>
  </si>
  <si>
    <r>
      <rPr>
        <sz val="11"/>
        <color rgb="FF000000"/>
        <rFont val="WenQuanYi Zen Hei"/>
        <family val="2"/>
      </rPr>
      <t xml:space="preserve">ガリゲット・バリグール 白（ボトル</t>
    </r>
    <r>
      <rPr>
        <sz val="11"/>
        <color rgb="FF000000"/>
        <rFont val="Meiryo UI"/>
        <family val="0"/>
        <charset val="1"/>
      </rPr>
      <t xml:space="preserve">750ml</t>
    </r>
    <r>
      <rPr>
        <sz val="11"/>
        <color rgb="FF000000"/>
        <rFont val="WenQuanYi Zen Hei"/>
        <family val="2"/>
      </rPr>
      <t xml:space="preserve">）</t>
    </r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</si>
  <si>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ウーロンハイ</t>
    </r>
  </si>
  <si>
    <t xml:space="preserve">ウーロンハイ</t>
  </si>
  <si>
    <t xml:space="preserve">新ジン</t>
  </si>
  <si>
    <t xml:space="preserve">ウィルキンソン ジン（ソーダ割）</t>
  </si>
  <si>
    <t xml:space="preserve">新金黒</t>
  </si>
  <si>
    <t xml:space="preserve">芋焼酎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</si>
  <si>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カシスソーダ</t>
    </r>
  </si>
  <si>
    <t xml:space="preserve">カシスソーダ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</si>
  <si>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いもハイレギュラー</t>
    </r>
  </si>
  <si>
    <t xml:space="preserve">いもハイ</t>
  </si>
  <si>
    <t xml:space="preserve">新ウォッカ</t>
  </si>
  <si>
    <t xml:space="preserve">ウィルキンソン ウォッカ（ソーダ割）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</si>
  <si>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リポスパ</t>
    </r>
  </si>
  <si>
    <t xml:space="preserve">リポスパ</t>
  </si>
  <si>
    <t xml:space="preserve">ソフトドリンク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</si>
  <si>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メロンソーダフロート</t>
    </r>
  </si>
  <si>
    <t xml:space="preserve">メロンソーダフロート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</si>
  <si>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コーラフロート</t>
    </r>
  </si>
  <si>
    <t xml:space="preserve">コーラフロート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</si>
  <si>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黒ウーロン茶</t>
    </r>
  </si>
  <si>
    <t xml:space="preserve">黒ウーロン茶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</si>
  <si>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コーラ</t>
    </r>
  </si>
  <si>
    <t xml:space="preserve">コーラ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</si>
  <si>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コーヒーフロート</t>
    </r>
  </si>
  <si>
    <t xml:space="preserve">コーヒーフロート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</si>
  <si>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ジンジャーエール</t>
    </r>
  </si>
  <si>
    <t xml:space="preserve">ジンジャーエール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</si>
  <si>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アイスコーヒー</t>
    </r>
  </si>
  <si>
    <t xml:space="preserve">アイスコーヒー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</si>
  <si>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レモンスカッシュ</t>
    </r>
  </si>
  <si>
    <t xml:space="preserve">レモンスカッシュ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</si>
  <si>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リポスパフロート</t>
    </r>
  </si>
  <si>
    <t xml:space="preserve">リポスパフロート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</si>
  <si>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カフェオレ</t>
    </r>
  </si>
  <si>
    <t xml:space="preserve">アイスカフェオレ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</si>
  <si>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メロンソーダ</t>
    </r>
  </si>
  <si>
    <t xml:space="preserve">メロンソーダ</t>
  </si>
  <si>
    <t xml:space="preserve">新カルピス</t>
  </si>
  <si>
    <t xml:space="preserve">カルピス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</si>
  <si>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アイスティー</t>
    </r>
  </si>
  <si>
    <t xml:space="preserve">アイスティー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</si>
  <si>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オレンジジュース</t>
    </r>
  </si>
  <si>
    <t xml:space="preserve">オレンジジュース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</si>
  <si>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レモンスカッシュフロート</t>
    </r>
  </si>
  <si>
    <t xml:space="preserve">レモンスカッシュフロート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</si>
  <si>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ホットコーヒー</t>
    </r>
  </si>
  <si>
    <t xml:space="preserve">ホットコーヒー</t>
  </si>
  <si>
    <t xml:space="preserve">アクリ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</si>
  <si>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オレンジフロート</t>
    </r>
  </si>
  <si>
    <t xml:space="preserve">オレンジフロート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</si>
  <si>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カルピスフロート</t>
    </r>
  </si>
  <si>
    <t xml:space="preserve">カルピスフロート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</si>
  <si>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カルピスソーダ</t>
    </r>
  </si>
  <si>
    <t xml:space="preserve">カルピスソーダ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</si>
  <si>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カルピスソーダフロート</t>
    </r>
  </si>
  <si>
    <t xml:space="preserve">カルピスソーダフロート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</si>
  <si>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ソフトクリーム</t>
    </r>
  </si>
  <si>
    <t xml:space="preserve">ソフトクリーム</t>
  </si>
  <si>
    <t xml:space="preserve">デザート類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</si>
  <si>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チョコバナナパフェ</t>
    </r>
  </si>
  <si>
    <t xml:space="preserve">チョコバナナミニパフェ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</si>
  <si>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白玉黒蜜きなこパフェ</t>
    </r>
  </si>
  <si>
    <t xml:space="preserve">白玉サンデー黒蜜きなこミニパフェ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</si>
  <si>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白玉抹茶パフェ</t>
    </r>
  </si>
  <si>
    <t xml:space="preserve">抹茶ミニパフェ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</si>
  <si>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ストロベリーパフェ</t>
    </r>
  </si>
  <si>
    <t xml:space="preserve">ストロベリーのミニパフェ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</si>
  <si>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マンゴーパフェ</t>
    </r>
  </si>
  <si>
    <t xml:space="preserve">マンゴーミニパフェ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</si>
  <si>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チョコバナナトルティーヤ</t>
    </r>
  </si>
  <si>
    <t xml:space="preserve">チョコバナナトルティーヤ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</si>
  <si>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ストロベリートルティーヤ</t>
    </r>
  </si>
  <si>
    <t xml:space="preserve">ストロベリートルティーヤ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</si>
  <si>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ブルーベリーパフェ</t>
    </r>
  </si>
  <si>
    <t xml:space="preserve">ブルーベリーのミニパフェ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</si>
  <si>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白玉抹茶トルティーヤ</t>
    </r>
  </si>
  <si>
    <t xml:space="preserve">抹茶トルティーヤ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</si>
  <si>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ブルーベリートルティーヤ</t>
    </r>
  </si>
  <si>
    <t xml:space="preserve">ブルーベリートルティーヤ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</si>
  <si>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マンゴートルティーヤ</t>
    </r>
  </si>
  <si>
    <t xml:space="preserve">マンゴートルティーヤ</t>
  </si>
  <si>
    <t xml:space="preserve">揚げ物盛り合わせ</t>
  </si>
  <si>
    <t xml:space="preserve">揚げ物盛り合わせ（からあげ・ポテト・イカ）</t>
  </si>
  <si>
    <t xml:space="preserve">一品料理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</si>
  <si>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マルゲリータ</t>
    </r>
  </si>
  <si>
    <t xml:space="preserve">マルゲリータ</t>
  </si>
  <si>
    <t xml:space="preserve">ポテトフライ</t>
  </si>
  <si>
    <t xml:space="preserve">ローストビーフサラダ</t>
  </si>
  <si>
    <t xml:space="preserve">たこやき</t>
  </si>
  <si>
    <t xml:space="preserve">たこ焼き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</si>
  <si>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特製ガーリックピザ</t>
    </r>
  </si>
  <si>
    <t xml:space="preserve">特製ガーリックピザ</t>
  </si>
  <si>
    <t xml:space="preserve">エビとブロッコリーのフレンチサラダ</t>
  </si>
  <si>
    <t xml:space="preserve">ピザポテト</t>
  </si>
  <si>
    <t xml:space="preserve">温玉シーザーサラダ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</si>
  <si>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生ハムカマンベール</t>
    </r>
  </si>
  <si>
    <t xml:space="preserve">生ハム＆カマンベールチーズ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</si>
  <si>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ビスククリームピザ</t>
    </r>
  </si>
  <si>
    <t xml:space="preserve">ビスククリームピザ</t>
  </si>
  <si>
    <t xml:space="preserve">カリカリチーズフライ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</si>
  <si>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枝豆</t>
    </r>
  </si>
  <si>
    <t xml:space="preserve">枝豆</t>
  </si>
  <si>
    <t xml:space="preserve">特製からあげ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</si>
  <si>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ローストビーフユッケ</t>
    </r>
  </si>
  <si>
    <t xml:space="preserve">ローストビーフユッケ</t>
  </si>
  <si>
    <t xml:space="preserve">ベーコンとほうれん草のソテー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</si>
  <si>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サーモンマリネ</t>
    </r>
  </si>
  <si>
    <t xml:space="preserve">サーモンマリネ</t>
  </si>
  <si>
    <r>
      <rPr>
        <sz val="11"/>
        <color rgb="FF000000"/>
        <rFont val="Meiryo UI"/>
        <family val="0"/>
        <charset val="1"/>
      </rPr>
      <t xml:space="preserve">2025)irodori</t>
    </r>
    <r>
      <rPr>
        <sz val="11"/>
        <color rgb="FF000000"/>
        <rFont val="WenQuanYi Zen Hei"/>
        <family val="2"/>
      </rPr>
      <t xml:space="preserve">自家製ピクルス</t>
    </r>
  </si>
  <si>
    <r>
      <rPr>
        <sz val="11"/>
        <color rgb="FF000000"/>
        <rFont val="Meiryo UI"/>
        <family val="0"/>
        <charset val="1"/>
      </rPr>
      <t xml:space="preserve">irodori</t>
    </r>
    <r>
      <rPr>
        <sz val="11"/>
        <color rgb="FF000000"/>
        <rFont val="WenQuanYi Zen Hei"/>
        <family val="2"/>
      </rPr>
      <t xml:space="preserve">自家製ピクルス</t>
    </r>
  </si>
  <si>
    <t xml:space="preserve">アヒージョ</t>
  </si>
  <si>
    <t xml:space="preserve">ミニじゃがバター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</si>
  <si>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トルティーヤサーモンアボカド</t>
    </r>
  </si>
  <si>
    <t xml:space="preserve">トルティーヤ サーモンアボカド</t>
  </si>
  <si>
    <t xml:space="preserve">生ハムサラダ</t>
  </si>
  <si>
    <t xml:space="preserve">イカの唐揚げカラマフリット</t>
  </si>
  <si>
    <t xml:space="preserve">イカの唐揚げ カラマリフリット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</si>
  <si>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カナッペ</t>
    </r>
  </si>
  <si>
    <t xml:space="preserve">カナッペ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</si>
  <si>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ガーリックシュリンプ</t>
    </r>
  </si>
  <si>
    <t xml:space="preserve">ガーリックシュリンプ</t>
  </si>
  <si>
    <t xml:space="preserve">おつまみマヨコーンピザ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</si>
  <si>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ミックスナッツ</t>
    </r>
  </si>
  <si>
    <t xml:space="preserve">ミックスナッツ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</si>
  <si>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トルティーヤ照り焼き</t>
    </r>
  </si>
  <si>
    <t xml:space="preserve">トルティーヤ 照り焼きチキン</t>
  </si>
  <si>
    <t xml:space="preserve">ベーコーン</t>
  </si>
  <si>
    <t xml:space="preserve">旨カラ牛バラ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</si>
  <si>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トルティーヤ生ハム</t>
    </r>
  </si>
  <si>
    <t xml:space="preserve">トルティーヤ 生ハムカマンベール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</si>
  <si>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トルティーヤコリアンエビ</t>
    </r>
  </si>
  <si>
    <t xml:space="preserve">トルティーヤ コリアンエビ</t>
  </si>
  <si>
    <t xml:space="preserve">生ハム</t>
  </si>
  <si>
    <t xml:space="preserve">タパス</t>
  </si>
  <si>
    <t xml:space="preserve">ガーリック枝豆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</si>
  <si>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トルティーヤエビフライ</t>
    </r>
  </si>
  <si>
    <t xml:space="preserve">トルティーヤ エビフライ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</si>
  <si>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シュリンプカクテル</t>
    </r>
  </si>
  <si>
    <t xml:space="preserve">シュリンプカクテル</t>
  </si>
  <si>
    <t xml:space="preserve">カマンベールチーズ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</si>
  <si>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釜玉チーズカレーうどん</t>
    </r>
  </si>
  <si>
    <t xml:space="preserve">釜玉チーズカレーうどん</t>
  </si>
  <si>
    <t xml:space="preserve">麺類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</si>
  <si>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濃厚カルボナーラパスタ</t>
    </r>
  </si>
  <si>
    <t xml:space="preserve">濃厚カルボナーラパスタ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</si>
  <si>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肉うどん</t>
    </r>
  </si>
  <si>
    <t xml:space="preserve">肉うどん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</si>
  <si>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ほうれん草生ハムのパスタ</t>
    </r>
  </si>
  <si>
    <t xml:space="preserve">ほうれん草と生ハムのガーリックパスタ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</si>
  <si>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カルボナーラうどん</t>
    </r>
  </si>
  <si>
    <t xml:space="preserve">カルボナーラうどん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</si>
  <si>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近江牛ボロネーゼ</t>
    </r>
  </si>
  <si>
    <t xml:space="preserve">近江牛ボロネーゼ風パスタ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</si>
  <si>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ビスククリームパスタ</t>
    </r>
  </si>
  <si>
    <t xml:space="preserve">ビスククリームパスタ</t>
  </si>
  <si>
    <r>
      <rPr>
        <sz val="11"/>
        <color rgb="FF000000"/>
        <rFont val="Meiryo UI"/>
        <family val="0"/>
        <charset val="1"/>
      </rPr>
      <t xml:space="preserve">2025)</t>
    </r>
    <r>
      <rPr>
        <sz val="11"/>
        <color rgb="FF000000"/>
        <rFont val="WenQuanYi Zen Hei"/>
        <family val="2"/>
      </rPr>
      <t xml:space="preserve">ぶっかけうどん</t>
    </r>
  </si>
  <si>
    <t xml:space="preserve">ぶっかけうどん（冷）</t>
  </si>
  <si>
    <r>
      <rPr>
        <sz val="11"/>
        <color rgb="FF000000"/>
        <rFont val="Meiryo UI"/>
        <family val="0"/>
        <charset val="1"/>
      </rPr>
      <t xml:space="preserve">2025)Todays</t>
    </r>
    <r>
      <rPr>
        <sz val="11"/>
        <color rgb="FF000000"/>
        <rFont val="WenQuanYi Zen Hei"/>
        <family val="2"/>
      </rPr>
      <t xml:space="preserve">パスタ</t>
    </r>
  </si>
  <si>
    <r>
      <rPr>
        <sz val="11"/>
        <color rgb="FF000000"/>
        <rFont val="Meiryo UI"/>
        <family val="0"/>
        <charset val="1"/>
      </rPr>
      <t xml:space="preserve">today's</t>
    </r>
    <r>
      <rPr>
        <sz val="11"/>
        <color rgb="FF000000"/>
        <rFont val="WenQuanYi Zen Hei"/>
        <family val="2"/>
      </rPr>
      <t xml:space="preserve">パスタ</t>
    </r>
  </si>
  <si>
    <r>
      <rPr>
        <sz val="11"/>
        <color rgb="FF000000"/>
        <rFont val="Meiryo UI"/>
        <family val="0"/>
        <charset val="1"/>
      </rPr>
      <t xml:space="preserve">2025)Todays</t>
    </r>
    <r>
      <rPr>
        <sz val="11"/>
        <color rgb="FF000000"/>
        <rFont val="WenQuanYi Zen Hei"/>
        <family val="2"/>
      </rPr>
      <t xml:space="preserve">パスタセット</t>
    </r>
  </si>
  <si>
    <r>
      <rPr>
        <sz val="11"/>
        <color rgb="FF000000"/>
        <rFont val="Meiryo UI"/>
        <family val="0"/>
        <charset val="1"/>
      </rPr>
      <t xml:space="preserve">today's</t>
    </r>
    <r>
      <rPr>
        <sz val="11"/>
        <color rgb="FF000000"/>
        <rFont val="WenQuanYi Zen Hei"/>
        <family val="2"/>
      </rPr>
      <t xml:space="preserve">パスタ（ランチセット）</t>
    </r>
  </si>
  <si>
    <r>
      <rPr>
        <sz val="11"/>
        <color rgb="FF000000"/>
        <rFont val="Meiryo UI"/>
        <family val="0"/>
        <charset val="1"/>
      </rPr>
      <t xml:space="preserve">Todays</t>
    </r>
    <r>
      <rPr>
        <sz val="11"/>
        <color rgb="FF000000"/>
        <rFont val="WenQuanYi Zen Hei"/>
        <family val="2"/>
      </rPr>
      <t xml:space="preserve">パスタランチ</t>
    </r>
  </si>
  <si>
    <t xml:space="preserve">近江牛サウナカリー</t>
  </si>
  <si>
    <t xml:space="preserve">近江牛サウナカリー（価格表外）</t>
  </si>
  <si>
    <t xml:space="preserve">合計</t>
  </si>
  <si>
    <r>
      <rPr>
        <sz val="9"/>
        <color rgb="FF595959"/>
        <rFont val="WenQuanYi Zen Hei"/>
        <family val="2"/>
      </rPr>
      <t xml:space="preserve">※原価単価はメニュー原価一覧（</t>
    </r>
    <r>
      <rPr>
        <sz val="9"/>
        <color rgb="FF595959"/>
        <rFont val="Meiryo UI"/>
        <family val="0"/>
        <charset val="1"/>
      </rPr>
      <t xml:space="preserve">2024 GM</t>
    </r>
    <r>
      <rPr>
        <sz val="9"/>
        <color rgb="FF595959"/>
        <rFont val="WenQuanYi Zen Hei"/>
        <family val="2"/>
      </rPr>
      <t xml:space="preserve">レシピ）。原価未登録品と近江牛サウナカリーは登録品の平均原価率（約</t>
    </r>
    <r>
      <rPr>
        <sz val="9"/>
        <color rgb="FF595959"/>
        <rFont val="Meiryo UI"/>
        <family val="0"/>
        <charset val="1"/>
      </rPr>
      <t xml:space="preserve">31%</t>
    </r>
    <r>
      <rPr>
        <sz val="9"/>
        <color rgb="FF595959"/>
        <rFont val="WenQuanYi Zen Hei"/>
        <family val="2"/>
      </rPr>
      <t xml:space="preserve">）で仮置き。コラボ商品・価格表外の商品（サウナカリー以外）は据え置きのため対象外。</t>
    </r>
  </si>
  <si>
    <r>
      <rPr>
        <b val="true"/>
        <sz val="14"/>
        <color rgb="FF0F3D3E"/>
        <rFont val="WenQuanYi Zen Hei"/>
        <family val="2"/>
      </rPr>
      <t xml:space="preserve">分類別 効果サマリー（</t>
    </r>
    <r>
      <rPr>
        <b val="true"/>
        <sz val="14"/>
        <color rgb="FF0F3D3E"/>
        <rFont val="Meiryo UI"/>
        <family val="0"/>
        <charset val="1"/>
      </rPr>
      <t xml:space="preserve">B</t>
    </r>
    <r>
      <rPr>
        <b val="true"/>
        <sz val="14"/>
        <color rgb="FF0F3D3E"/>
        <rFont val="WenQuanYi Zen Hei"/>
        <family val="2"/>
      </rPr>
      <t xml:space="preserve">案・弾力性は前提シート）</t>
    </r>
  </si>
  <si>
    <r>
      <rPr>
        <sz val="9"/>
        <color rgb="FF7F7F7F"/>
        <rFont val="Meiryo UI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〜</t>
    </r>
    <r>
      <rPr>
        <sz val="9"/>
        <color rgb="FF7F7F7F"/>
        <rFont val="Meiryo UI"/>
        <family val="0"/>
        <charset val="1"/>
      </rPr>
      <t xml:space="preserve">6</t>
    </r>
    <r>
      <rPr>
        <sz val="9"/>
        <color rgb="FF7F7F7F"/>
        <rFont val="WenQuanYi Zen Hei"/>
        <family val="2"/>
      </rPr>
      <t xml:space="preserve">月実績ベース（円）と、年間換算（千円＝</t>
    </r>
    <r>
      <rPr>
        <sz val="9"/>
        <color rgb="FF7F7F7F"/>
        <rFont val="Meiryo UI"/>
        <family val="0"/>
        <charset val="1"/>
      </rPr>
      <t xml:space="preserve">4</t>
    </r>
    <r>
      <rPr>
        <sz val="9"/>
        <color rgb="FF7F7F7F"/>
        <rFont val="WenQuanYi Zen Hei"/>
        <family val="2"/>
      </rPr>
      <t xml:space="preserve">〜</t>
    </r>
    <r>
      <rPr>
        <sz val="9"/>
        <color rgb="FF7F7F7F"/>
        <rFont val="Meiryo UI"/>
        <family val="0"/>
        <charset val="1"/>
      </rPr>
      <t xml:space="preserve">6</t>
    </r>
    <r>
      <rPr>
        <sz val="9"/>
        <color rgb="FF7F7F7F"/>
        <rFont val="WenQuanYi Zen Hei"/>
        <family val="2"/>
      </rPr>
      <t xml:space="preserve">月</t>
    </r>
    <r>
      <rPr>
        <sz val="9"/>
        <color rgb="FF7F7F7F"/>
        <rFont val="Meiryo UI"/>
        <family val="0"/>
        <charset val="1"/>
      </rPr>
      <t xml:space="preserve">×</t>
    </r>
    <r>
      <rPr>
        <sz val="9"/>
        <color rgb="FF7F7F7F"/>
        <rFont val="WenQuanYi Zen Hei"/>
        <family val="2"/>
      </rPr>
      <t xml:space="preserve">半期換算係数</t>
    </r>
    <r>
      <rPr>
        <sz val="9"/>
        <color rgb="FF7F7F7F"/>
        <rFont val="Meiryo UI"/>
        <family val="0"/>
        <charset val="1"/>
      </rPr>
      <t xml:space="preserve">×2</t>
    </r>
    <r>
      <rPr>
        <sz val="9"/>
        <color rgb="FF7F7F7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</si>
  <si>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売上 改定前（</t>
    </r>
    <r>
      <rPr>
        <b val="true"/>
        <sz val="11"/>
        <color rgb="FFFFFFFF"/>
        <rFont val="Meiryo UI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〜</t>
    </r>
    <r>
      <rPr>
        <b val="true"/>
        <sz val="11"/>
        <color rgb="FFFFFFFF"/>
        <rFont val="Meiryo UI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月）</t>
    </r>
  </si>
  <si>
    <r>
      <rPr>
        <b val="true"/>
        <sz val="11"/>
        <color rgb="FFFFFFFF"/>
        <rFont val="WenQuanYi Zen Hei"/>
        <family val="2"/>
      </rPr>
      <t xml:space="preserve">売上増減（</t>
    </r>
    <r>
      <rPr>
        <b val="true"/>
        <sz val="11"/>
        <color rgb="FFFFFFFF"/>
        <rFont val="Meiryo UI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〜</t>
    </r>
    <r>
      <rPr>
        <b val="true"/>
        <sz val="11"/>
        <color rgb="FFFFFFFF"/>
        <rFont val="Meiryo UI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月）</t>
    </r>
  </si>
  <si>
    <t xml:space="preserve">実効値上げ率</t>
  </si>
  <si>
    <r>
      <rPr>
        <b val="true"/>
        <sz val="11"/>
        <color rgb="FFFFFFFF"/>
        <rFont val="WenQuanYi Zen Hei"/>
        <family val="2"/>
      </rPr>
      <t xml:space="preserve">原価増減（</t>
    </r>
    <r>
      <rPr>
        <b val="true"/>
        <sz val="11"/>
        <color rgb="FFFFFFFF"/>
        <rFont val="Meiryo UI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〜</t>
    </r>
    <r>
      <rPr>
        <b val="true"/>
        <sz val="11"/>
        <color rgb="FFFFFFFF"/>
        <rFont val="Meiryo UI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月）</t>
    </r>
  </si>
  <si>
    <r>
      <rPr>
        <b val="true"/>
        <sz val="11"/>
        <color rgb="FFFFFFFF"/>
        <rFont val="WenQuanYi Zen Hei"/>
        <family val="2"/>
      </rPr>
      <t xml:space="preserve">粗利増減（</t>
    </r>
    <r>
      <rPr>
        <b val="true"/>
        <sz val="11"/>
        <color rgb="FFFFFFFF"/>
        <rFont val="Meiryo UI"/>
        <family val="0"/>
        <charset val="1"/>
      </rPr>
      <t xml:space="preserve">4</t>
    </r>
    <r>
      <rPr>
        <b val="true"/>
        <sz val="11"/>
        <color rgb="FFFFFFFF"/>
        <rFont val="WenQuanYi Zen Hei"/>
        <family val="2"/>
      </rPr>
      <t xml:space="preserve">〜</t>
    </r>
    <r>
      <rPr>
        <b val="true"/>
        <sz val="11"/>
        <color rgb="FFFFFFFF"/>
        <rFont val="Meiryo UI"/>
        <family val="0"/>
        <charset val="1"/>
      </rPr>
      <t xml:space="preserve">6</t>
    </r>
    <r>
      <rPr>
        <b val="true"/>
        <sz val="11"/>
        <color rgb="FFFFFFFF"/>
        <rFont val="WenQuanYi Zen Hei"/>
        <family val="2"/>
      </rPr>
      <t xml:space="preserve">月）</t>
    </r>
  </si>
  <si>
    <t xml:space="preserve">理論原価率 改定前</t>
  </si>
  <si>
    <t xml:space="preserve">理論原価率 改定後</t>
  </si>
  <si>
    <t xml:space="preserve">年間 売上増減（千円）</t>
  </si>
  <si>
    <t xml:space="preserve">年間 粗利増減（千円）</t>
  </si>
  <si>
    <t xml:space="preserve">コラボ抜き売上全体に対する実効値上げ率（出数変化なしの場合）</t>
  </si>
  <si>
    <r>
      <rPr>
        <sz val="9"/>
        <color rgb="FF595959"/>
        <rFont val="WenQuanYi Zen Hei"/>
        <family val="2"/>
      </rPr>
      <t xml:space="preserve">※実効値上げ率（</t>
    </r>
    <r>
      <rPr>
        <sz val="9"/>
        <color rgb="FF595959"/>
        <rFont val="Meiryo UI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列）は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品あたり平均単価の上昇率。</t>
    </r>
    <r>
      <rPr>
        <sz val="9"/>
        <color rgb="FF595959"/>
        <rFont val="Meiryo UI"/>
        <family val="0"/>
        <charset val="1"/>
      </rPr>
      <t xml:space="preserve">D13</t>
    </r>
    <r>
      <rPr>
        <sz val="9"/>
        <color rgb="FF595959"/>
        <rFont val="WenQuanYi Zen Hei"/>
        <family val="2"/>
      </rPr>
      <t xml:space="preserve">は据え置き商品・価格表外商品も含むコラボ抜き売上全体に対する率。</t>
    </r>
  </si>
  <si>
    <t xml:space="preserve">飲食原価率 改善プラン（下期・通期）</t>
  </si>
  <si>
    <t xml:space="preserve">単位：千円。下期は上期と同水準の売上・出数を前提（前提シートで変更可）</t>
  </si>
  <si>
    <t xml:space="preserve">ステップ</t>
  </si>
  <si>
    <t xml:space="preserve">売上</t>
  </si>
  <si>
    <t xml:space="preserve">原価</t>
  </si>
  <si>
    <t xml:space="preserve">原価率</t>
  </si>
  <si>
    <t xml:space="preserve">改善幅</t>
  </si>
  <si>
    <t xml:space="preserve">根拠</t>
  </si>
  <si>
    <t xml:space="preserve">上期 実績</t>
  </si>
  <si>
    <t xml:space="preserve">下期ベース（在庫取崩しなし）</t>
  </si>
  <si>
    <t xml:space="preserve">上期の在庫取崩しは一時要因として除外</t>
  </si>
  <si>
    <r>
      <rPr>
        <b val="true"/>
        <sz val="11"/>
        <color rgb="FF000000"/>
        <rFont val="WenQuanYi Zen Hei"/>
        <family val="2"/>
      </rPr>
      <t xml:space="preserve">＋値上げ（</t>
    </r>
    <r>
      <rPr>
        <b val="true"/>
        <sz val="11"/>
        <color rgb="FF000000"/>
        <rFont val="Meiryo UI"/>
        <family val="0"/>
        <charset val="1"/>
      </rPr>
      <t xml:space="preserve">A</t>
    </r>
    <r>
      <rPr>
        <b val="true"/>
        <sz val="11"/>
        <color rgb="FF000000"/>
        <rFont val="WenQuanYi Zen Hei"/>
        <family val="2"/>
      </rPr>
      <t xml:space="preserve">案＋</t>
    </r>
    <r>
      <rPr>
        <b val="true"/>
        <sz val="11"/>
        <color rgb="FF000000"/>
        <rFont val="Meiryo UI"/>
        <family val="0"/>
        <charset val="1"/>
      </rPr>
      <t xml:space="preserve">B</t>
    </r>
    <r>
      <rPr>
        <b val="true"/>
        <sz val="11"/>
        <color rgb="FF000000"/>
        <rFont val="WenQuanYi Zen Hei"/>
        <family val="2"/>
      </rPr>
      <t xml:space="preserve">案、弾力性反映）</t>
    </r>
  </si>
  <si>
    <t xml:space="preserve">品目別試算（出数ベース）</t>
  </si>
  <si>
    <t xml:space="preserve">＋原価コントロール（必要額）</t>
  </si>
  <si>
    <t xml:space="preserve">下期を予算原価率に収めるための原価</t>
  </si>
  <si>
    <t xml:space="preserve">原価コントロール 必要削減額（下期）</t>
  </si>
  <si>
    <t xml:space="preserve">下期原価に対する削減率</t>
  </si>
  <si>
    <t xml:space="preserve">通期 着地（下期を予算原価率で着地）</t>
  </si>
  <si>
    <t xml:space="preserve">予算原価率との差</t>
  </si>
  <si>
    <t xml:space="preserve">通期を予算原価率に収めるための下期原価上限</t>
  </si>
  <si>
    <t xml:space="preserve">上期の超過分を下期で取り戻す場合</t>
  </si>
  <si>
    <t xml:space="preserve">　→ 追加で必要な原価圧縮（上期超過分）</t>
  </si>
  <si>
    <t xml:space="preserve">＝上期の原価超過額にほぼ等しい</t>
  </si>
  <si>
    <r>
      <rPr>
        <b val="true"/>
        <sz val="11"/>
        <color rgb="FF000000"/>
        <rFont val="WenQuanYi Zen Hei"/>
        <family val="2"/>
      </rPr>
      <t xml:space="preserve">参考：値上げだけで下期を予算原価率に収める場合の必要値上げ率（</t>
    </r>
    <r>
      <rPr>
        <b val="true"/>
        <sz val="11"/>
        <color rgb="FF000000"/>
        <rFont val="Meiryo UI"/>
        <family val="0"/>
        <charset val="1"/>
      </rPr>
      <t xml:space="preserve">GM</t>
    </r>
    <r>
      <rPr>
        <b val="true"/>
        <sz val="11"/>
        <color rgb="FF000000"/>
        <rFont val="WenQuanYi Zen Hei"/>
        <family val="2"/>
      </rPr>
      <t xml:space="preserve">一律）</t>
    </r>
  </si>
  <si>
    <t xml:space="preserve">出数変化を考慮しない概算</t>
  </si>
  <si>
    <t xml:space="preserve">上期 原価率超過の要因分解（試算）</t>
  </si>
  <si>
    <r>
      <rPr>
        <sz val="9"/>
        <color rgb="FF7F7F7F"/>
        <rFont val="WenQuanYi Zen Hei"/>
        <family val="2"/>
      </rPr>
      <t xml:space="preserve">予算の区分別原価率（コラボ</t>
    </r>
    <r>
      <rPr>
        <sz val="9"/>
        <color rgb="FF7F7F7F"/>
        <rFont val="Meiryo UI"/>
        <family val="0"/>
        <charset val="1"/>
      </rPr>
      <t xml:space="preserve">32.0%</t>
    </r>
    <r>
      <rPr>
        <sz val="9"/>
        <color rgb="FF7F7F7F"/>
        <rFont val="WenQuanYi Zen Hei"/>
        <family val="2"/>
      </rPr>
      <t xml:space="preserve">・食事</t>
    </r>
    <r>
      <rPr>
        <sz val="9"/>
        <color rgb="FF7F7F7F"/>
        <rFont val="Meiryo UI"/>
        <family val="0"/>
        <charset val="1"/>
      </rPr>
      <t xml:space="preserve">35.0%</t>
    </r>
    <r>
      <rPr>
        <sz val="9"/>
        <color rgb="FF7F7F7F"/>
        <rFont val="WenQuanYi Zen Hei"/>
        <family val="2"/>
      </rPr>
      <t xml:space="preserve">）を実績の売上構成に当てはめて分解</t>
    </r>
  </si>
  <si>
    <t xml:space="preserve">要因</t>
  </si>
  <si>
    <t xml:space="preserve">原価額への影響（千円）</t>
  </si>
  <si>
    <t xml:space="preserve">原価率への影響</t>
  </si>
  <si>
    <t xml:space="preserve">考え方</t>
  </si>
  <si>
    <t xml:space="preserve">① コラボ不振による売上構成の変化</t>
  </si>
  <si>
    <r>
      <rPr>
        <sz val="11"/>
        <color rgb="FF000000"/>
        <rFont val="WenQuanYi Zen Hei"/>
        <family val="2"/>
      </rPr>
      <t xml:space="preserve">予算の区分別原価率</t>
    </r>
    <r>
      <rPr>
        <sz val="11"/>
        <color rgb="FF000000"/>
        <rFont val="Meiryo UI"/>
        <family val="0"/>
        <charset val="1"/>
      </rPr>
      <t xml:space="preserve">×</t>
    </r>
    <r>
      <rPr>
        <sz val="11"/>
        <color rgb="FF000000"/>
        <rFont val="WenQuanYi Zen Hei"/>
        <family val="2"/>
      </rPr>
      <t xml:space="preserve">実績売上 − 予算原価率</t>
    </r>
    <r>
      <rPr>
        <sz val="11"/>
        <color rgb="FF000000"/>
        <rFont val="Meiryo UI"/>
        <family val="0"/>
        <charset val="1"/>
      </rPr>
      <t xml:space="preserve">×</t>
    </r>
    <r>
      <rPr>
        <sz val="11"/>
        <color rgb="FF000000"/>
        <rFont val="WenQuanYi Zen Hei"/>
        <family val="2"/>
      </rPr>
      <t xml:space="preserve">実績売上</t>
    </r>
  </si>
  <si>
    <t xml:space="preserve">② 在庫取崩し（一時要因）</t>
  </si>
  <si>
    <t xml:space="preserve">期首棚卸−期末棚卸</t>
  </si>
  <si>
    <t xml:space="preserve">③ 原価圧迫・ロス等（コラボ食材ロス含む）</t>
  </si>
  <si>
    <t xml:space="preserve">残差</t>
  </si>
  <si>
    <t xml:space="preserve">上期 実績原価率</t>
  </si>
  <si>
    <r>
      <rPr>
        <sz val="11"/>
        <color rgb="FF000000"/>
        <rFont val="Meiryo UI"/>
        <family val="0"/>
        <charset val="1"/>
      </rPr>
      <t xml:space="preserve">B</t>
    </r>
    <r>
      <rPr>
        <sz val="11"/>
        <color rgb="FF000000"/>
        <rFont val="WenQuanYi Zen Hei"/>
        <family val="2"/>
      </rPr>
      <t xml:space="preserve">列合計＝予算原価率に対する原価超過額</t>
    </r>
  </si>
  <si>
    <t xml:space="preserve">※コラボ原価が売上に比例する前提。特典・最低ロットなど売上に連動しないコラボ原価がある場合、①の比重は大きくなり③は小さくなります。</t>
  </si>
  <si>
    <r>
      <rPr>
        <b val="true"/>
        <sz val="14"/>
        <color rgb="FF0F3D3E"/>
        <rFont val="WenQuanYi Zen Hei"/>
        <family val="2"/>
      </rPr>
      <t xml:space="preserve">周辺飲食店・温浴施設の価格（</t>
    </r>
    <r>
      <rPr>
        <b val="true"/>
        <sz val="14"/>
        <color rgb="FF0F3D3E"/>
        <rFont val="Meiryo UI"/>
        <family val="0"/>
        <charset val="1"/>
      </rPr>
      <t xml:space="preserve">2026</t>
    </r>
    <r>
      <rPr>
        <b val="true"/>
        <sz val="14"/>
        <color rgb="FF0F3D3E"/>
        <rFont val="WenQuanYi Zen Hei"/>
        <family val="2"/>
      </rPr>
      <t xml:space="preserve">年</t>
    </r>
    <r>
      <rPr>
        <b val="true"/>
        <sz val="14"/>
        <color rgb="FF0F3D3E"/>
        <rFont val="Meiryo UI"/>
        <family val="0"/>
        <charset val="1"/>
      </rPr>
      <t xml:space="preserve">10</t>
    </r>
    <r>
      <rPr>
        <b val="true"/>
        <sz val="14"/>
        <color rgb="FF0F3D3E"/>
        <rFont val="WenQuanYi Zen Hei"/>
        <family val="2"/>
      </rPr>
      <t xml:space="preserve">月 </t>
    </r>
    <r>
      <rPr>
        <b val="true"/>
        <sz val="14"/>
        <color rgb="FF0F3D3E"/>
        <rFont val="Meiryo UI"/>
        <family val="0"/>
        <charset val="1"/>
      </rPr>
      <t xml:space="preserve">Web</t>
    </r>
    <r>
      <rPr>
        <b val="true"/>
        <sz val="14"/>
        <color rgb="FF0F3D3E"/>
        <rFont val="WenQuanYi Zen Hei"/>
        <family val="2"/>
      </rPr>
      <t xml:space="preserve">調査）</t>
    </r>
  </si>
  <si>
    <t xml:space="preserve">※検索結果ベースの情報です。最新価格は各店の公式情報で確認してください</t>
  </si>
  <si>
    <t xml:space="preserve">区分</t>
  </si>
  <si>
    <t xml:space="preserve">店名</t>
  </si>
  <si>
    <t xml:space="preserve">品目</t>
  </si>
  <si>
    <t xml:space="preserve">税込価格</t>
  </si>
  <si>
    <t xml:space="preserve">出典</t>
  </si>
  <si>
    <t xml:space="preserve">情報時期</t>
  </si>
  <si>
    <t xml:space="preserve">神田周辺</t>
  </si>
  <si>
    <t xml:space="preserve">立呑み神田屋 神田駅前店</t>
  </si>
  <si>
    <t xml:space="preserve">生ビール（ジョッキ）</t>
  </si>
  <si>
    <t xml:space="preserve">tabelog.com</t>
  </si>
  <si>
    <t xml:space="preserve">不明</t>
  </si>
  <si>
    <t xml:space="preserve">日高屋</t>
  </si>
  <si>
    <t xml:space="preserve">生ビール中</t>
  </si>
  <si>
    <t xml:space="preserve">gourmet.watch.impress.co.jp</t>
  </si>
  <si>
    <r>
      <rPr>
        <sz val="11"/>
        <color rgb="FF000000"/>
        <rFont val="Meiryo UI"/>
        <family val="0"/>
        <charset val="1"/>
      </rPr>
      <t xml:space="preserve">2025</t>
    </r>
    <r>
      <rPr>
        <sz val="11"/>
        <color rgb="FF000000"/>
        <rFont val="WenQuanYi Zen Hei"/>
        <family val="2"/>
      </rPr>
      <t xml:space="preserve">夏</t>
    </r>
  </si>
  <si>
    <t xml:space="preserve">磯丸水産</t>
  </si>
  <si>
    <t xml:space="preserve">ハイボール・レモンサワー</t>
  </si>
  <si>
    <t xml:space="preserve">weekly.ascii.jp</t>
  </si>
  <si>
    <t xml:space="preserve">2026-08</t>
  </si>
  <si>
    <t xml:space="preserve">鳥貴族</t>
  </si>
  <si>
    <t xml:space="preserve">全品均一（生ビール・唐揚げ含む）</t>
  </si>
  <si>
    <t xml:space="preserve">news.nissyoku.co.jp</t>
  </si>
  <si>
    <r>
      <rPr>
        <sz val="11"/>
        <color rgb="FF000000"/>
        <rFont val="Meiryo UI"/>
        <family val="0"/>
        <charset val="1"/>
      </rPr>
      <t xml:space="preserve">2026-10</t>
    </r>
    <r>
      <rPr>
        <sz val="11"/>
        <color rgb="FF000000"/>
        <rFont val="WenQuanYi Zen Hei"/>
        <family val="2"/>
      </rPr>
      <t xml:space="preserve">改定</t>
    </r>
  </si>
  <si>
    <t xml:space="preserve">日乃屋カレー 神田</t>
  </si>
  <si>
    <t xml:space="preserve">名物カツカレー</t>
  </si>
  <si>
    <t xml:space="preserve">kanda-curry.com</t>
  </si>
  <si>
    <r>
      <rPr>
        <sz val="11"/>
        <color rgb="FF000000"/>
        <rFont val="Meiryo UI"/>
        <family val="0"/>
        <charset val="1"/>
      </rPr>
      <t xml:space="preserve">2026</t>
    </r>
    <r>
      <rPr>
        <sz val="11"/>
        <color rgb="FF000000"/>
        <rFont val="WenQuanYi Zen Hei"/>
        <family val="2"/>
      </rPr>
      <t xml:space="preserve">頃</t>
    </r>
  </si>
  <si>
    <t xml:space="preserve">新潟タレカツ 神田今川橋店</t>
  </si>
  <si>
    <t xml:space="preserve">カツカレー</t>
  </si>
  <si>
    <t xml:space="preserve">いっぺこっぺ 神田小川町店</t>
  </si>
  <si>
    <t xml:space="preserve">上ロースカツカレー</t>
  </si>
  <si>
    <t xml:space="preserve">キッチンきらく</t>
  </si>
  <si>
    <r>
      <rPr>
        <sz val="11"/>
        <color rgb="FF000000"/>
        <rFont val="WenQuanYi Zen Hei"/>
        <family val="2"/>
      </rPr>
      <t xml:space="preserve">神保町オオドリー（カレー</t>
    </r>
    <r>
      <rPr>
        <sz val="11"/>
        <color rgb="FF000000"/>
        <rFont val="Meiryo UI"/>
        <family val="0"/>
        <charset val="1"/>
      </rPr>
      <t xml:space="preserve">GP2025</t>
    </r>
    <r>
      <rPr>
        <sz val="11"/>
        <color rgb="FF000000"/>
        <rFont val="WenQuanYi Zen Hei"/>
        <family val="2"/>
      </rPr>
      <t xml:space="preserve">優勝）</t>
    </r>
  </si>
  <si>
    <t xml:space="preserve">キーマカレー</t>
  </si>
  <si>
    <t xml:space="preserve">san-tatsu.jp</t>
  </si>
  <si>
    <t xml:space="preserve">2026-10</t>
  </si>
  <si>
    <t xml:space="preserve">チェーン</t>
  </si>
  <si>
    <t xml:space="preserve">丸亀製麺</t>
  </si>
  <si>
    <t xml:space="preserve">釜玉うどん並</t>
  </si>
  <si>
    <r>
      <rPr>
        <sz val="11"/>
        <color rgb="FF000000"/>
        <rFont val="Meiryo UI"/>
        <family val="0"/>
        <charset val="1"/>
      </rPr>
      <t xml:space="preserve">2026-01</t>
    </r>
    <r>
      <rPr>
        <sz val="11"/>
        <color rgb="FF000000"/>
        <rFont val="WenQuanYi Zen Hei"/>
        <family val="2"/>
      </rPr>
      <t xml:space="preserve">改定</t>
    </r>
  </si>
  <si>
    <t xml:space="preserve">温浴施設</t>
  </si>
  <si>
    <t xml:space="preserve">スパ ラクーア</t>
  </si>
  <si>
    <t xml:space="preserve">カレーライス／牛すじ肉うどん</t>
  </si>
  <si>
    <t xml:space="preserve">sp.jorudan.co.jp</t>
  </si>
  <si>
    <t xml:space="preserve">2026-05</t>
  </si>
  <si>
    <t xml:space="preserve">トルティーヤチップス</t>
  </si>
  <si>
    <t xml:space="preserve">タイムズスパ・レスタ（池袋）</t>
  </si>
  <si>
    <t xml:space="preserve">生ビール</t>
  </si>
  <si>
    <t xml:space="preserve">timesspa-resta.jp</t>
  </si>
  <si>
    <t xml:space="preserve">2025-09</t>
  </si>
  <si>
    <t xml:space="preserve">サウナ東京（赤坂）</t>
  </si>
  <si>
    <t xml:space="preserve">bousaid.com</t>
  </si>
  <si>
    <r>
      <rPr>
        <sz val="11"/>
        <color rgb="FF000000"/>
        <rFont val="Meiryo UI"/>
        <family val="0"/>
        <charset val="1"/>
      </rPr>
      <t xml:space="preserve">2026-03</t>
    </r>
    <r>
      <rPr>
        <sz val="11"/>
        <color rgb="FF000000"/>
        <rFont val="WenQuanYi Zen Hei"/>
        <family val="2"/>
      </rPr>
      <t xml:space="preserve">頃</t>
    </r>
  </si>
  <si>
    <r>
      <rPr>
        <sz val="11"/>
        <color rgb="FF000000"/>
        <rFont val="Meiryo UI"/>
        <family val="0"/>
        <charset val="1"/>
      </rPr>
      <t xml:space="preserve">RAKU SPA Station </t>
    </r>
    <r>
      <rPr>
        <sz val="11"/>
        <color rgb="FF000000"/>
        <rFont val="WenQuanYi Zen Hei"/>
        <family val="2"/>
      </rPr>
      <t xml:space="preserve">武蔵小金井</t>
    </r>
  </si>
  <si>
    <t xml:space="preserve">薬膳カレー</t>
  </si>
  <si>
    <t xml:space="preserve">otsuka-seiya.com</t>
  </si>
  <si>
    <r>
      <rPr>
        <sz val="11"/>
        <color rgb="FF000000"/>
        <rFont val="Meiryo UI"/>
        <family val="0"/>
        <charset val="1"/>
      </rPr>
      <t xml:space="preserve">2025-12</t>
    </r>
    <r>
      <rPr>
        <sz val="11"/>
        <color rgb="FF000000"/>
        <rFont val="WenQuanYi Zen Hei"/>
        <family val="2"/>
      </rPr>
      <t xml:space="preserve">以降</t>
    </r>
  </si>
  <si>
    <r>
      <rPr>
        <sz val="11"/>
        <color rgb="FF000000"/>
        <rFont val="WenQuanYi Zen Hei"/>
        <family val="2"/>
      </rPr>
      <t xml:space="preserve">骨付きチューリップ</t>
    </r>
    <r>
      <rPr>
        <sz val="11"/>
        <color rgb="FF000000"/>
        <rFont val="Meiryo UI"/>
        <family val="0"/>
        <charset val="1"/>
      </rPr>
      <t xml:space="preserve">4</t>
    </r>
    <r>
      <rPr>
        <sz val="11"/>
        <color rgb="FF000000"/>
        <rFont val="WenQuanYi Zen Hei"/>
        <family val="2"/>
      </rPr>
      <t xml:space="preserve">本</t>
    </r>
  </si>
  <si>
    <r>
      <rPr>
        <sz val="11"/>
        <color rgb="FF000000"/>
        <rFont val="Meiryo UI"/>
        <family val="0"/>
        <charset val="1"/>
      </rPr>
      <t xml:space="preserve">RAKU SPA BAY</t>
    </r>
    <r>
      <rPr>
        <sz val="11"/>
        <color rgb="FF000000"/>
        <rFont val="WenQuanYi Zen Hei"/>
        <family val="2"/>
      </rPr>
      <t xml:space="preserve">横浜</t>
    </r>
  </si>
  <si>
    <t xml:space="preserve">saturday-saunalover.com</t>
  </si>
  <si>
    <r>
      <rPr>
        <sz val="11"/>
        <color rgb="FF000000"/>
        <rFont val="Meiryo UI"/>
        <family val="0"/>
        <charset val="1"/>
      </rPr>
      <t xml:space="preserve">2025</t>
    </r>
    <r>
      <rPr>
        <sz val="11"/>
        <color rgb="FF000000"/>
        <rFont val="WenQuanYi Zen Hei"/>
        <family val="2"/>
      </rPr>
      <t xml:space="preserve">頃</t>
    </r>
  </si>
  <si>
    <t xml:space="preserve">おふろの王様 高座渋谷</t>
  </si>
  <si>
    <t xml:space="preserve">生ビール大</t>
  </si>
  <si>
    <t xml:space="preserve">sauna-ikitai.com</t>
  </si>
  <si>
    <t xml:space="preserve">萩の湯（鶯谷）</t>
  </si>
  <si>
    <t xml:space="preserve">enjoytokyo.jp</t>
  </si>
  <si>
    <r>
      <rPr>
        <sz val="11"/>
        <color rgb="FF000000"/>
        <rFont val="Meiryo UI"/>
        <family val="0"/>
        <charset val="1"/>
      </rPr>
      <t xml:space="preserve">2024</t>
    </r>
    <r>
      <rPr>
        <sz val="11"/>
        <color rgb="FF000000"/>
        <rFont val="WenQuanYi Zen Hei"/>
        <family val="2"/>
      </rPr>
      <t xml:space="preserve">頃</t>
    </r>
  </si>
  <si>
    <r>
      <rPr>
        <sz val="9"/>
        <color rgb="FF595959"/>
        <rFont val="WenQuanYi Zen Hei"/>
        <family val="2"/>
      </rPr>
      <t xml:space="preserve">マクロ指標：外食</t>
    </r>
    <r>
      <rPr>
        <sz val="9"/>
        <color rgb="FF595959"/>
        <rFont val="Meiryo UI"/>
        <family val="0"/>
        <charset val="1"/>
      </rPr>
      <t xml:space="preserve">CPI 2025</t>
    </r>
    <r>
      <rPr>
        <sz val="9"/>
        <color rgb="FF595959"/>
        <rFont val="WenQuanYi Zen Hei"/>
        <family val="2"/>
      </rPr>
      <t xml:space="preserve">年度 前年比</t>
    </r>
    <r>
      <rPr>
        <sz val="9"/>
        <color rgb="FF595959"/>
        <rFont val="Meiryo UI"/>
        <family val="0"/>
        <charset val="1"/>
      </rPr>
      <t xml:space="preserve">+4.2%</t>
    </r>
    <r>
      <rPr>
        <sz val="9"/>
        <color rgb="FF595959"/>
        <rFont val="WenQuanYi Zen Hei"/>
        <family val="2"/>
      </rPr>
      <t xml:space="preserve">（総務省）／食品値上げ </t>
    </r>
    <r>
      <rPr>
        <sz val="9"/>
        <color rgb="FF595959"/>
        <rFont val="Meiryo UI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年累計</t>
    </r>
    <r>
      <rPr>
        <sz val="9"/>
        <color rgb="FF595959"/>
        <rFont val="Meiryo UI"/>
        <family val="0"/>
        <charset val="1"/>
      </rPr>
      <t xml:space="preserve">20,187</t>
    </r>
    <r>
      <rPr>
        <sz val="9"/>
        <color rgb="FF595959"/>
        <rFont val="WenQuanYi Zen Hei"/>
        <family val="2"/>
      </rPr>
      <t xml:space="preserve">品目（</t>
    </r>
    <r>
      <rPr>
        <sz val="9"/>
        <color rgb="FF595959"/>
        <rFont val="Meiryo UI"/>
        <family val="0"/>
        <charset val="1"/>
      </rPr>
      <t xml:space="preserve">9/30</t>
    </r>
    <r>
      <rPr>
        <sz val="9"/>
        <color rgb="FF595959"/>
        <rFont val="WenQuanYi Zen Hei"/>
        <family val="2"/>
      </rPr>
      <t xml:space="preserve">時点、帝国データバンク）／ビール酒税 </t>
    </r>
    <r>
      <rPr>
        <sz val="9"/>
        <color rgb="FF595959"/>
        <rFont val="Meiryo UI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Meiryo UI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Meiryo UI"/>
        <family val="0"/>
        <charset val="1"/>
      </rPr>
      <t xml:space="preserve">350ml</t>
    </r>
    <r>
      <rPr>
        <sz val="9"/>
        <color rgb="FF595959"/>
        <rFont val="WenQuanYi Zen Hei"/>
        <family val="2"/>
      </rPr>
      <t xml:space="preserve">あたり</t>
    </r>
    <r>
      <rPr>
        <sz val="9"/>
        <color rgb="FF595959"/>
        <rFont val="Meiryo UI"/>
        <family val="0"/>
        <charset val="1"/>
      </rPr>
      <t xml:space="preserve">9.1</t>
    </r>
    <r>
      <rPr>
        <sz val="9"/>
        <color rgb="FF595959"/>
        <rFont val="WenQuanYi Zen Hei"/>
        <family val="2"/>
      </rPr>
      <t xml:space="preserve">円減税／米価 </t>
    </r>
    <r>
      <rPr>
        <sz val="9"/>
        <color rgb="FF595959"/>
        <rFont val="Meiryo UI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Meiryo UI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Meiryo UI"/>
        <family val="0"/>
        <charset val="1"/>
      </rPr>
      <t xml:space="preserve">5kg</t>
    </r>
    <r>
      <rPr>
        <sz val="9"/>
        <color rgb="FF595959"/>
        <rFont val="WenQuanYi Zen Hei"/>
        <family val="2"/>
      </rPr>
      <t xml:space="preserve">平均</t>
    </r>
    <r>
      <rPr>
        <sz val="9"/>
        <color rgb="FF595959"/>
        <rFont val="Meiryo UI"/>
        <family val="0"/>
        <charset val="1"/>
      </rPr>
      <t xml:space="preserve">3,191</t>
    </r>
    <r>
      <rPr>
        <sz val="9"/>
        <color rgb="FF595959"/>
        <rFont val="WenQuanYi Zen Hei"/>
        <family val="2"/>
      </rPr>
      <t xml:space="preserve">円（前年比約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割安）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</si>
</sst>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#,##0"/>
    <numFmt numFmtId="167" formatCode="0.0"/>
    <numFmt numFmtId="168" formatCode="0%"/>
    <numFmt numFmtId="169" formatCode="0.0%"/>
    <numFmt numFmtId="170" formatCode="0.000"/>
    <numFmt numFmtId="171" formatCode="\+0.0%;\-0.0%;0.0%"/>
    <numFmt numFmtId="172" formatCode="\+#,##0;\-#,##0;0"/>
    <numFmt numFmtId="173" formatCode="0.00%"/>
    <numFmt numFmtId="174" formatCode="\+0.00&quot;pt&quot;;\-0.00&quot;pt&quot;;0.00&quot;pt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D3E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Meiryo UI"/>
      <family val="0"/>
      <charset val="1"/>
    </font>
    <font>
      <b val="true"/>
      <sz val="11"/>
      <color rgb="FFFFFFFF"/>
      <name val="WenQuanYi Zen Hei"/>
      <family val="2"/>
    </font>
    <font>
      <sz val="11"/>
      <color rgb="FF000000"/>
      <name val="WenQuanYi Zen Hei"/>
      <family val="2"/>
    </font>
    <font>
      <sz val="11"/>
      <color rgb="FF0000FF"/>
      <name val="Meiryo UI"/>
      <family val="0"/>
      <charset val="1"/>
    </font>
    <font>
      <sz val="11"/>
      <color rgb="FF000000"/>
      <name val="Meiryo UI"/>
      <family val="0"/>
      <charset val="1"/>
    </font>
    <font>
      <b val="true"/>
      <sz val="11"/>
      <color rgb="FF000000"/>
      <name val="WenQuanYi Zen Hei"/>
      <family val="2"/>
    </font>
    <font>
      <b val="true"/>
      <sz val="11"/>
      <color rgb="FF000000"/>
      <name val="Meiryo UI"/>
      <family val="0"/>
      <charset val="1"/>
    </font>
    <font>
      <b val="true"/>
      <sz val="14"/>
      <color rgb="FF0F3D3E"/>
      <name val="Meiryo UI"/>
      <family val="0"/>
      <charset val="1"/>
    </font>
    <font>
      <b val="true"/>
      <sz val="11"/>
      <color rgb="FFFFFFFF"/>
      <name val="Meiryo UI"/>
      <family val="0"/>
      <charset val="1"/>
    </font>
    <font>
      <sz val="9"/>
      <color rgb="FF595959"/>
      <name val="WenQuanYi Zen Hei"/>
      <family val="2"/>
    </font>
    <font>
      <sz val="9"/>
      <color rgb="FF595959"/>
      <name val="Meiryo U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3D3E"/>
        <bgColor rgb="FF333333"/>
      </patternFill>
    </fill>
    <fill>
      <patternFill patternType="solid">
        <fgColor rgb="FFFFF2CC"/>
        <bgColor rgb="FFE3EEEC"/>
      </patternFill>
    </fill>
    <fill>
      <patternFill patternType="solid">
        <fgColor rgb="FFE3EEE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F3D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3EEEC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3D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54943.438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5" t="n">
        <v>20011.659</v>
      </c>
      <c r="C6" s="4" t="s">
        <v>7</v>
      </c>
      <c r="D6" s="4" t="s">
        <v>8</v>
      </c>
    </row>
    <row r="7" customFormat="false" ht="15" hidden="false" customHeight="false" outlineLevel="0" collapsed="false">
      <c r="A7" s="4" t="s">
        <v>10</v>
      </c>
      <c r="B7" s="5" t="n">
        <v>61825.8</v>
      </c>
      <c r="C7" s="4" t="s">
        <v>7</v>
      </c>
      <c r="D7" s="4" t="s">
        <v>8</v>
      </c>
    </row>
    <row r="8" customFormat="false" ht="15" hidden="false" customHeight="false" outlineLevel="0" collapsed="false">
      <c r="A8" s="4" t="s">
        <v>11</v>
      </c>
      <c r="B8" s="5" t="n">
        <v>20648.82</v>
      </c>
      <c r="C8" s="4" t="s">
        <v>7</v>
      </c>
      <c r="D8" s="4" t="s">
        <v>8</v>
      </c>
    </row>
    <row r="9" customFormat="false" ht="15" hidden="false" customHeight="false" outlineLevel="0" collapsed="false">
      <c r="A9" s="4" t="s">
        <v>12</v>
      </c>
      <c r="B9" s="5" t="n">
        <v>25737.219</v>
      </c>
      <c r="C9" s="4" t="s">
        <v>7</v>
      </c>
      <c r="D9" s="4" t="s">
        <v>8</v>
      </c>
    </row>
    <row r="10" customFormat="false" ht="15" hidden="false" customHeight="false" outlineLevel="0" collapsed="false">
      <c r="A10" s="4" t="s">
        <v>13</v>
      </c>
      <c r="B10" s="5" t="n">
        <v>33007</v>
      </c>
      <c r="C10" s="4" t="s">
        <v>7</v>
      </c>
      <c r="D10" s="4" t="s">
        <v>8</v>
      </c>
    </row>
    <row r="11" customFormat="false" ht="15" hidden="false" customHeight="false" outlineLevel="0" collapsed="false">
      <c r="A11" s="4" t="s">
        <v>14</v>
      </c>
      <c r="B11" s="5" t="n">
        <v>10562.24</v>
      </c>
      <c r="C11" s="4" t="s">
        <v>7</v>
      </c>
      <c r="D11" s="4" t="s">
        <v>8</v>
      </c>
    </row>
    <row r="12" customFormat="false" ht="15" hidden="false" customHeight="false" outlineLevel="0" collapsed="false">
      <c r="A12" s="4" t="s">
        <v>15</v>
      </c>
      <c r="B12" s="5" t="n">
        <v>29206.219</v>
      </c>
      <c r="C12" s="4" t="s">
        <v>7</v>
      </c>
      <c r="D12" s="4" t="s">
        <v>8</v>
      </c>
    </row>
    <row r="13" customFormat="false" ht="15" hidden="false" customHeight="false" outlineLevel="0" collapsed="false">
      <c r="A13" s="4" t="s">
        <v>16</v>
      </c>
      <c r="B13" s="5" t="n">
        <v>28818.8</v>
      </c>
      <c r="C13" s="4" t="s">
        <v>7</v>
      </c>
      <c r="D13" s="4" t="s">
        <v>8</v>
      </c>
    </row>
    <row r="14" customFormat="false" ht="15" hidden="false" customHeight="false" outlineLevel="0" collapsed="false">
      <c r="A14" s="4" t="s">
        <v>17</v>
      </c>
      <c r="B14" s="5" t="n">
        <v>10086.58</v>
      </c>
      <c r="C14" s="4" t="s">
        <v>7</v>
      </c>
      <c r="D14" s="4" t="s">
        <v>8</v>
      </c>
    </row>
    <row r="15" customFormat="false" ht="15" hidden="false" customHeight="false" outlineLevel="0" collapsed="false">
      <c r="A15" s="4" t="s">
        <v>18</v>
      </c>
      <c r="B15" s="5" t="n">
        <v>1827.662</v>
      </c>
      <c r="C15" s="4" t="s">
        <v>7</v>
      </c>
      <c r="D15" s="4" t="s">
        <v>19</v>
      </c>
    </row>
    <row r="16" customFormat="false" ht="15" hidden="false" customHeight="false" outlineLevel="0" collapsed="false">
      <c r="A16" s="4" t="s">
        <v>20</v>
      </c>
      <c r="B16" s="5" t="n">
        <v>1362.454</v>
      </c>
      <c r="C16" s="4" t="s">
        <v>7</v>
      </c>
      <c r="D16" s="4" t="s">
        <v>19</v>
      </c>
    </row>
    <row r="17" customFormat="false" ht="15" hidden="false" customHeight="false" outlineLevel="0" collapsed="false">
      <c r="A17" s="6" t="s">
        <v>21</v>
      </c>
      <c r="B17" s="7" t="n">
        <v>14102442</v>
      </c>
      <c r="C17" s="4" t="s">
        <v>22</v>
      </c>
      <c r="D17" s="4" t="s">
        <v>23</v>
      </c>
    </row>
    <row r="18" customFormat="false" ht="15" hidden="false" customHeight="false" outlineLevel="0" collapsed="false">
      <c r="A18" s="4" t="s">
        <v>24</v>
      </c>
      <c r="B18" s="8" t="n">
        <v>-0.3</v>
      </c>
      <c r="C18" s="6" t="s">
        <v>25</v>
      </c>
      <c r="D18" s="4" t="s">
        <v>26</v>
      </c>
    </row>
    <row r="19" customFormat="false" ht="15" hidden="false" customHeight="false" outlineLevel="0" collapsed="false">
      <c r="A19" s="4" t="s">
        <v>27</v>
      </c>
      <c r="B19" s="9" t="n">
        <v>1</v>
      </c>
      <c r="C19" s="6" t="s">
        <v>25</v>
      </c>
      <c r="D19" s="4" t="s">
        <v>28</v>
      </c>
    </row>
    <row r="20" customFormat="false" ht="15" hidden="false" customHeight="false" outlineLevel="0" collapsed="false">
      <c r="A20" s="4" t="s">
        <v>29</v>
      </c>
      <c r="B20" s="5" t="n">
        <v>0</v>
      </c>
      <c r="C20" s="4" t="s">
        <v>7</v>
      </c>
      <c r="D20" s="4" t="s">
        <v>30</v>
      </c>
    </row>
    <row r="22" customFormat="false" ht="15" hidden="false" customHeight="false" outlineLevel="0" collapsed="false">
      <c r="A22" s="10" t="s">
        <v>31</v>
      </c>
      <c r="B22" s="11" t="n">
        <f aca="false">B8/B7</f>
        <v>0.333983870811215</v>
      </c>
      <c r="C22" s="4"/>
      <c r="D22" s="4" t="s">
        <v>32</v>
      </c>
    </row>
    <row r="23" customFormat="false" ht="15" hidden="false" customHeight="false" outlineLevel="0" collapsed="false">
      <c r="A23" s="10" t="s">
        <v>33</v>
      </c>
      <c r="B23" s="11" t="n">
        <f aca="false">B6/B5</f>
        <v>0.364222912297552</v>
      </c>
      <c r="C23" s="4"/>
      <c r="D23" s="4"/>
    </row>
    <row r="24" customFormat="false" ht="15" hidden="false" customHeight="false" outlineLevel="0" collapsed="false">
      <c r="A24" s="4" t="s">
        <v>34</v>
      </c>
      <c r="B24" s="12" t="n">
        <f aca="false">B12/(B17/1000)</f>
        <v>2.07100436931419</v>
      </c>
      <c r="C24" s="4" t="s">
        <v>35</v>
      </c>
      <c r="D24" s="4" t="s">
        <v>36</v>
      </c>
    </row>
    <row r="25" customFormat="false" ht="15" hidden="false" customHeight="false" outlineLevel="0" collapsed="false">
      <c r="A25" s="4" t="s">
        <v>37</v>
      </c>
      <c r="B25" s="13" t="n">
        <f aca="false">B15-B16</f>
        <v>465.208</v>
      </c>
      <c r="C25" s="4" t="s">
        <v>7</v>
      </c>
      <c r="D25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8" min="4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4" min="11" style="0" width="12"/>
    <col collapsed="false" customWidth="true" hidden="false" outlineLevel="0" max="15" min="15" style="0" width="11"/>
    <col collapsed="false" customWidth="true" hidden="false" outlineLevel="0" max="16" min="16" style="0" width="8"/>
  </cols>
  <sheetData>
    <row r="1" customFormat="false" ht="19.4" hidden="false" customHeight="false" outlineLevel="0" collapsed="false">
      <c r="A1" s="1" t="s">
        <v>39</v>
      </c>
    </row>
    <row r="2" customFormat="false" ht="15" hidden="false" customHeight="false" outlineLevel="0" collapsed="false">
      <c r="A2" s="14" t="s">
        <v>40</v>
      </c>
    </row>
    <row r="4" customFormat="false" ht="42.5" hidden="false" customHeight="false" outlineLevel="0" collapsed="false">
      <c r="A4" s="15" t="s">
        <v>41</v>
      </c>
      <c r="B4" s="3" t="s">
        <v>42</v>
      </c>
      <c r="C4" s="3" t="s">
        <v>43</v>
      </c>
      <c r="D4" s="15" t="s">
        <v>44</v>
      </c>
      <c r="E4" s="3" t="s">
        <v>45</v>
      </c>
      <c r="F4" s="15" t="s">
        <v>46</v>
      </c>
      <c r="G4" s="15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54</v>
      </c>
      <c r="O4" s="3" t="s">
        <v>55</v>
      </c>
      <c r="P4" s="15" t="s">
        <v>56</v>
      </c>
    </row>
    <row r="5" customFormat="false" ht="15" hidden="false" customHeight="false" outlineLevel="0" collapsed="false">
      <c r="A5" s="4" t="s">
        <v>57</v>
      </c>
      <c r="B5" s="4" t="s">
        <v>58</v>
      </c>
      <c r="C5" s="4" t="s">
        <v>59</v>
      </c>
      <c r="D5" s="7" t="n">
        <v>843</v>
      </c>
      <c r="E5" s="7" t="n">
        <v>1380</v>
      </c>
      <c r="F5" s="7" t="n">
        <v>1407</v>
      </c>
      <c r="G5" s="7" t="n">
        <v>1453</v>
      </c>
      <c r="H5" s="5" t="n">
        <v>492.4</v>
      </c>
      <c r="I5" s="16" t="n">
        <f aca="false">G5/E5-1</f>
        <v>0.0528985507246378</v>
      </c>
      <c r="J5" s="13" t="n">
        <f aca="false">D5*(1+前提!$B$18*I5)</f>
        <v>829.621956521739</v>
      </c>
      <c r="K5" s="17" t="n">
        <f aca="false">D5*E5</f>
        <v>1163340</v>
      </c>
      <c r="L5" s="17" t="n">
        <f aca="false">J5*G5</f>
        <v>1205440.70282609</v>
      </c>
      <c r="M5" s="17" t="n">
        <f aca="false">D5*H5</f>
        <v>415093.2</v>
      </c>
      <c r="N5" s="17" t="n">
        <f aca="false">J5*H5</f>
        <v>408505.851391304</v>
      </c>
      <c r="O5" s="18" t="n">
        <f aca="false">(L5-N5)-(K5-M5)</f>
        <v>48688.0514347826</v>
      </c>
      <c r="P5" s="6" t="s">
        <v>60</v>
      </c>
    </row>
    <row r="6" customFormat="false" ht="15" hidden="false" customHeight="false" outlineLevel="0" collapsed="false">
      <c r="A6" s="4" t="s">
        <v>61</v>
      </c>
      <c r="B6" s="4" t="s">
        <v>62</v>
      </c>
      <c r="C6" s="4" t="s">
        <v>59</v>
      </c>
      <c r="D6" s="7" t="n">
        <v>338</v>
      </c>
      <c r="E6" s="7" t="n">
        <v>1280</v>
      </c>
      <c r="F6" s="7" t="n">
        <v>1325</v>
      </c>
      <c r="G6" s="7" t="n">
        <v>1325</v>
      </c>
      <c r="H6" s="5" t="n">
        <v>343.7</v>
      </c>
      <c r="I6" s="16" t="n">
        <f aca="false">G6/E6-1</f>
        <v>0.03515625</v>
      </c>
      <c r="J6" s="13" t="n">
        <f aca="false">D6*(1+前提!$B$18*I6)</f>
        <v>334.43515625</v>
      </c>
      <c r="K6" s="17" t="n">
        <f aca="false">D6*E6</f>
        <v>432640</v>
      </c>
      <c r="L6" s="17" t="n">
        <f aca="false">J6*G6</f>
        <v>443126.58203125</v>
      </c>
      <c r="M6" s="17" t="n">
        <f aca="false">D6*H6</f>
        <v>116170.6</v>
      </c>
      <c r="N6" s="17" t="n">
        <f aca="false">J6*H6</f>
        <v>114945.363203125</v>
      </c>
      <c r="O6" s="18" t="n">
        <f aca="false">(L6-N6)-(K6-M6)</f>
        <v>11711.818828125</v>
      </c>
      <c r="P6" s="4"/>
    </row>
    <row r="7" customFormat="false" ht="15" hidden="false" customHeight="false" outlineLevel="0" collapsed="false">
      <c r="A7" s="4" t="s">
        <v>63</v>
      </c>
      <c r="B7" s="4" t="s">
        <v>63</v>
      </c>
      <c r="C7" s="4" t="s">
        <v>59</v>
      </c>
      <c r="D7" s="7" t="n">
        <v>336</v>
      </c>
      <c r="E7" s="7" t="n">
        <v>1080</v>
      </c>
      <c r="F7" s="7" t="n">
        <v>1107</v>
      </c>
      <c r="G7" s="7" t="n">
        <v>1107</v>
      </c>
      <c r="H7" s="5" t="n">
        <v>360</v>
      </c>
      <c r="I7" s="16" t="n">
        <f aca="false">G7/E7-1</f>
        <v>0.0249999999999999</v>
      </c>
      <c r="J7" s="13" t="n">
        <f aca="false">D7*(1+前提!$B$18*I7)</f>
        <v>333.48</v>
      </c>
      <c r="K7" s="17" t="n">
        <f aca="false">D7*E7</f>
        <v>362880</v>
      </c>
      <c r="L7" s="17" t="n">
        <f aca="false">J7*G7</f>
        <v>369162.36</v>
      </c>
      <c r="M7" s="17" t="n">
        <f aca="false">D7*H7</f>
        <v>120960</v>
      </c>
      <c r="N7" s="17" t="n">
        <f aca="false">J7*H7</f>
        <v>120052.8</v>
      </c>
      <c r="O7" s="18" t="n">
        <f aca="false">(L7-N7)-(K7-M7)</f>
        <v>7189.56000000006</v>
      </c>
      <c r="P7" s="4"/>
    </row>
    <row r="8" customFormat="false" ht="15" hidden="false" customHeight="false" outlineLevel="0" collapsed="false">
      <c r="A8" s="4" t="s">
        <v>64</v>
      </c>
      <c r="B8" s="4" t="s">
        <v>65</v>
      </c>
      <c r="C8" s="4" t="s">
        <v>59</v>
      </c>
      <c r="D8" s="7" t="n">
        <v>217</v>
      </c>
      <c r="E8" s="7" t="n">
        <v>1380</v>
      </c>
      <c r="F8" s="7" t="n">
        <v>1425</v>
      </c>
      <c r="G8" s="7" t="n">
        <v>1425</v>
      </c>
      <c r="H8" s="5" t="n">
        <v>576.88</v>
      </c>
      <c r="I8" s="16" t="n">
        <f aca="false">G8/E8-1</f>
        <v>0.0326086956521738</v>
      </c>
      <c r="J8" s="13" t="n">
        <f aca="false">D8*(1+前提!$B$18*I8)</f>
        <v>214.877173913044</v>
      </c>
      <c r="K8" s="17" t="n">
        <f aca="false">D8*E8</f>
        <v>299460</v>
      </c>
      <c r="L8" s="17" t="n">
        <f aca="false">J8*G8</f>
        <v>306199.972826087</v>
      </c>
      <c r="M8" s="17" t="n">
        <f aca="false">D8*H8</f>
        <v>125182.96</v>
      </c>
      <c r="N8" s="17" t="n">
        <f aca="false">J8*H8</f>
        <v>123958.344086957</v>
      </c>
      <c r="O8" s="18" t="n">
        <f aca="false">(L8-N8)-(K8-M8)</f>
        <v>7964.58873913044</v>
      </c>
      <c r="P8" s="4"/>
    </row>
    <row r="9" customFormat="false" ht="15" hidden="false" customHeight="false" outlineLevel="0" collapsed="false">
      <c r="A9" s="6" t="s">
        <v>66</v>
      </c>
      <c r="B9" s="6" t="s">
        <v>67</v>
      </c>
      <c r="C9" s="4" t="s">
        <v>59</v>
      </c>
      <c r="D9" s="7" t="n">
        <v>184</v>
      </c>
      <c r="E9" s="7" t="n">
        <v>980</v>
      </c>
      <c r="F9" s="7" t="n">
        <v>1007</v>
      </c>
      <c r="G9" s="7" t="n">
        <v>1007</v>
      </c>
      <c r="H9" s="5" t="n">
        <v>215.3</v>
      </c>
      <c r="I9" s="16" t="n">
        <f aca="false">G9/E9-1</f>
        <v>0.0275510204081633</v>
      </c>
      <c r="J9" s="13" t="n">
        <f aca="false">D9*(1+前提!$B$18*I9)</f>
        <v>182.479183673469</v>
      </c>
      <c r="K9" s="17" t="n">
        <f aca="false">D9*E9</f>
        <v>180320</v>
      </c>
      <c r="L9" s="17" t="n">
        <f aca="false">J9*G9</f>
        <v>183756.537959184</v>
      </c>
      <c r="M9" s="17" t="n">
        <f aca="false">D9*H9</f>
        <v>39615.2</v>
      </c>
      <c r="N9" s="17" t="n">
        <f aca="false">J9*H9</f>
        <v>39287.768244898</v>
      </c>
      <c r="O9" s="18" t="n">
        <f aca="false">(L9-N9)-(K9-M9)</f>
        <v>3763.96971428569</v>
      </c>
      <c r="P9" s="4"/>
    </row>
    <row r="10" customFormat="false" ht="15" hidden="false" customHeight="false" outlineLevel="0" collapsed="false">
      <c r="A10" s="6" t="s">
        <v>68</v>
      </c>
      <c r="B10" s="4" t="s">
        <v>69</v>
      </c>
      <c r="C10" s="4" t="s">
        <v>59</v>
      </c>
      <c r="D10" s="7" t="n">
        <v>89</v>
      </c>
      <c r="E10" s="7" t="n">
        <v>1580</v>
      </c>
      <c r="F10" s="7" t="n">
        <v>1625</v>
      </c>
      <c r="G10" s="7" t="n">
        <v>1625</v>
      </c>
      <c r="H10" s="5" t="n">
        <v>514</v>
      </c>
      <c r="I10" s="16" t="n">
        <f aca="false">G10/E10-1</f>
        <v>0.0284810126582278</v>
      </c>
      <c r="J10" s="13" t="n">
        <f aca="false">D10*(1+前提!$B$18*I10)</f>
        <v>88.2395569620253</v>
      </c>
      <c r="K10" s="17" t="n">
        <f aca="false">D10*E10</f>
        <v>140620</v>
      </c>
      <c r="L10" s="17" t="n">
        <f aca="false">J10*G10</f>
        <v>143389.280063291</v>
      </c>
      <c r="M10" s="17" t="n">
        <f aca="false">D10*H10</f>
        <v>45746</v>
      </c>
      <c r="N10" s="17" t="n">
        <f aca="false">J10*H10</f>
        <v>45355.132278481</v>
      </c>
      <c r="O10" s="18" t="n">
        <f aca="false">(L10-N10)-(K10-M10)</f>
        <v>3160.14778481014</v>
      </c>
      <c r="P10" s="4"/>
    </row>
    <row r="11" customFormat="false" ht="15" hidden="false" customHeight="false" outlineLevel="0" collapsed="false">
      <c r="A11" s="4" t="s">
        <v>70</v>
      </c>
      <c r="B11" s="4" t="s">
        <v>70</v>
      </c>
      <c r="C11" s="4" t="s">
        <v>59</v>
      </c>
      <c r="D11" s="7" t="n">
        <v>86</v>
      </c>
      <c r="E11" s="7" t="n">
        <v>1480</v>
      </c>
      <c r="F11" s="7" t="n">
        <v>1507</v>
      </c>
      <c r="G11" s="7" t="n">
        <v>1507</v>
      </c>
      <c r="H11" s="5" t="n">
        <v>483.6</v>
      </c>
      <c r="I11" s="16" t="n">
        <f aca="false">G11/E11-1</f>
        <v>0.0182432432432433</v>
      </c>
      <c r="J11" s="13" t="n">
        <f aca="false">D11*(1+前提!$B$18*I11)</f>
        <v>85.5293243243243</v>
      </c>
      <c r="K11" s="17" t="n">
        <f aca="false">D11*E11</f>
        <v>127280</v>
      </c>
      <c r="L11" s="17" t="n">
        <f aca="false">J11*G11</f>
        <v>128892.691756757</v>
      </c>
      <c r="M11" s="17" t="n">
        <f aca="false">D11*H11</f>
        <v>41589.6</v>
      </c>
      <c r="N11" s="17" t="n">
        <f aca="false">J11*H11</f>
        <v>41361.9812432432</v>
      </c>
      <c r="O11" s="18" t="n">
        <f aca="false">(L11-N11)-(K11-M11)</f>
        <v>1840.31051351351</v>
      </c>
      <c r="P11" s="4"/>
    </row>
    <row r="12" customFormat="false" ht="15" hidden="false" customHeight="false" outlineLevel="0" collapsed="false">
      <c r="A12" s="4" t="s">
        <v>71</v>
      </c>
      <c r="B12" s="4" t="s">
        <v>72</v>
      </c>
      <c r="C12" s="4" t="s">
        <v>59</v>
      </c>
      <c r="D12" s="7" t="n">
        <v>78</v>
      </c>
      <c r="E12" s="7" t="n">
        <v>1280</v>
      </c>
      <c r="F12" s="7" t="n">
        <v>1325</v>
      </c>
      <c r="G12" s="7" t="n">
        <v>1325</v>
      </c>
      <c r="H12" s="5" t="n">
        <v>454.9</v>
      </c>
      <c r="I12" s="16" t="n">
        <f aca="false">G12/E12-1</f>
        <v>0.03515625</v>
      </c>
      <c r="J12" s="13" t="n">
        <f aca="false">D12*(1+前提!$B$18*I12)</f>
        <v>77.17734375</v>
      </c>
      <c r="K12" s="17" t="n">
        <f aca="false">D12*E12</f>
        <v>99840</v>
      </c>
      <c r="L12" s="17" t="n">
        <f aca="false">J12*G12</f>
        <v>102259.98046875</v>
      </c>
      <c r="M12" s="17" t="n">
        <f aca="false">D12*H12</f>
        <v>35482.2</v>
      </c>
      <c r="N12" s="17" t="n">
        <f aca="false">J12*H12</f>
        <v>35107.973671875</v>
      </c>
      <c r="O12" s="18" t="n">
        <f aca="false">(L12-N12)-(K12-M12)</f>
        <v>2794.20679687501</v>
      </c>
      <c r="P12" s="4"/>
    </row>
    <row r="13" customFormat="false" ht="15" hidden="false" customHeight="false" outlineLevel="0" collapsed="false">
      <c r="A13" s="4" t="s">
        <v>73</v>
      </c>
      <c r="B13" s="4" t="s">
        <v>73</v>
      </c>
      <c r="C13" s="4" t="s">
        <v>59</v>
      </c>
      <c r="D13" s="7" t="n">
        <v>70</v>
      </c>
      <c r="E13" s="7" t="n">
        <v>1280</v>
      </c>
      <c r="F13" s="7" t="n">
        <v>1325</v>
      </c>
      <c r="G13" s="7" t="n">
        <v>1325</v>
      </c>
      <c r="H13" s="5" t="n">
        <v>551.5</v>
      </c>
      <c r="I13" s="16" t="n">
        <f aca="false">G13/E13-1</f>
        <v>0.03515625</v>
      </c>
      <c r="J13" s="13" t="n">
        <f aca="false">D13*(1+前提!$B$18*I13)</f>
        <v>69.26171875</v>
      </c>
      <c r="K13" s="17" t="n">
        <f aca="false">D13*E13</f>
        <v>89600</v>
      </c>
      <c r="L13" s="17" t="n">
        <f aca="false">J13*G13</f>
        <v>91771.77734375</v>
      </c>
      <c r="M13" s="17" t="n">
        <f aca="false">D13*H13</f>
        <v>38605</v>
      </c>
      <c r="N13" s="17" t="n">
        <f aca="false">J13*H13</f>
        <v>38197.837890625</v>
      </c>
      <c r="O13" s="18" t="n">
        <f aca="false">(L13-N13)-(K13-M13)</f>
        <v>2578.939453125</v>
      </c>
      <c r="P13" s="4"/>
    </row>
    <row r="14" customFormat="false" ht="15" hidden="false" customHeight="false" outlineLevel="0" collapsed="false">
      <c r="A14" s="6" t="s">
        <v>74</v>
      </c>
      <c r="B14" s="6" t="s">
        <v>75</v>
      </c>
      <c r="C14" s="4" t="s">
        <v>59</v>
      </c>
      <c r="D14" s="7" t="n">
        <v>79</v>
      </c>
      <c r="E14" s="7" t="n">
        <v>1030</v>
      </c>
      <c r="F14" s="7" t="n">
        <v>1057</v>
      </c>
      <c r="G14" s="7" t="n">
        <v>1057</v>
      </c>
      <c r="H14" s="5" t="n">
        <v>353.4</v>
      </c>
      <c r="I14" s="16" t="n">
        <f aca="false">G14/E14-1</f>
        <v>0.0262135922330098</v>
      </c>
      <c r="J14" s="13" t="n">
        <f aca="false">D14*(1+前提!$B$18*I14)</f>
        <v>78.3787378640777</v>
      </c>
      <c r="K14" s="17" t="n">
        <f aca="false">D14*E14</f>
        <v>81370</v>
      </c>
      <c r="L14" s="17" t="n">
        <f aca="false">J14*G14</f>
        <v>82846.3259223301</v>
      </c>
      <c r="M14" s="17" t="n">
        <f aca="false">D14*H14</f>
        <v>27918.6</v>
      </c>
      <c r="N14" s="17" t="n">
        <f aca="false">J14*H14</f>
        <v>27699.045961165</v>
      </c>
      <c r="O14" s="18" t="n">
        <f aca="false">(L14-N14)-(K14-M14)</f>
        <v>1695.87996116504</v>
      </c>
      <c r="P14" s="4"/>
    </row>
    <row r="15" customFormat="false" ht="15" hidden="false" customHeight="false" outlineLevel="0" collapsed="false">
      <c r="A15" s="4" t="s">
        <v>76</v>
      </c>
      <c r="B15" s="4" t="s">
        <v>76</v>
      </c>
      <c r="C15" s="4" t="s">
        <v>59</v>
      </c>
      <c r="D15" s="7" t="n">
        <v>249</v>
      </c>
      <c r="E15" s="7" t="n">
        <v>280</v>
      </c>
      <c r="F15" s="7" t="n">
        <v>298</v>
      </c>
      <c r="G15" s="7" t="n">
        <v>298</v>
      </c>
      <c r="H15" s="5" t="n">
        <v>65.7</v>
      </c>
      <c r="I15" s="16" t="n">
        <f aca="false">G15/E15-1</f>
        <v>0.0642857142857143</v>
      </c>
      <c r="J15" s="13" t="n">
        <f aca="false">D15*(1+前提!$B$18*I15)</f>
        <v>244.197857142857</v>
      </c>
      <c r="K15" s="17" t="n">
        <f aca="false">D15*E15</f>
        <v>69720</v>
      </c>
      <c r="L15" s="17" t="n">
        <f aca="false">J15*G15</f>
        <v>72770.9614285714</v>
      </c>
      <c r="M15" s="17" t="n">
        <f aca="false">D15*H15</f>
        <v>16359.3</v>
      </c>
      <c r="N15" s="17" t="n">
        <f aca="false">J15*H15</f>
        <v>16043.7992142857</v>
      </c>
      <c r="O15" s="18" t="n">
        <f aca="false">(L15-N15)-(K15-M15)</f>
        <v>3366.46221428573</v>
      </c>
      <c r="P15" s="4"/>
    </row>
    <row r="16" customFormat="false" ht="15" hidden="false" customHeight="false" outlineLevel="0" collapsed="false">
      <c r="A16" s="6" t="s">
        <v>77</v>
      </c>
      <c r="B16" s="4" t="s">
        <v>78</v>
      </c>
      <c r="C16" s="4" t="s">
        <v>59</v>
      </c>
      <c r="D16" s="7" t="n">
        <v>40</v>
      </c>
      <c r="E16" s="7" t="n">
        <v>1580</v>
      </c>
      <c r="F16" s="7" t="n">
        <v>1625</v>
      </c>
      <c r="G16" s="7" t="n">
        <v>1625</v>
      </c>
      <c r="H16" s="5" t="n">
        <v>526.2</v>
      </c>
      <c r="I16" s="16" t="n">
        <f aca="false">G16/E16-1</f>
        <v>0.0284810126582278</v>
      </c>
      <c r="J16" s="13" t="n">
        <f aca="false">D16*(1+前提!$B$18*I16)</f>
        <v>39.6582278481013</v>
      </c>
      <c r="K16" s="17" t="n">
        <f aca="false">D16*E16</f>
        <v>63200</v>
      </c>
      <c r="L16" s="17" t="n">
        <f aca="false">J16*G16</f>
        <v>64444.6202531646</v>
      </c>
      <c r="M16" s="17" t="n">
        <f aca="false">D16*H16</f>
        <v>21048</v>
      </c>
      <c r="N16" s="17" t="n">
        <f aca="false">J16*H16</f>
        <v>20868.1594936709</v>
      </c>
      <c r="O16" s="18" t="n">
        <f aca="false">(L16-N16)-(K16-M16)</f>
        <v>1424.46075949367</v>
      </c>
      <c r="P16" s="4"/>
    </row>
    <row r="17" customFormat="false" ht="15" hidden="false" customHeight="false" outlineLevel="0" collapsed="false">
      <c r="A17" s="4" t="s">
        <v>79</v>
      </c>
      <c r="B17" s="4" t="s">
        <v>80</v>
      </c>
      <c r="C17" s="4" t="s">
        <v>59</v>
      </c>
      <c r="D17" s="7" t="n">
        <v>354</v>
      </c>
      <c r="E17" s="7" t="n">
        <v>150</v>
      </c>
      <c r="F17" s="7" t="n">
        <v>168</v>
      </c>
      <c r="G17" s="7" t="n">
        <v>200</v>
      </c>
      <c r="H17" s="5" t="n">
        <v>84</v>
      </c>
      <c r="I17" s="16" t="n">
        <f aca="false">G17/E17-1</f>
        <v>0.333333333333333</v>
      </c>
      <c r="J17" s="13" t="n">
        <f aca="false">D17*(1+前提!$B$18*I17)</f>
        <v>318.6</v>
      </c>
      <c r="K17" s="17" t="n">
        <f aca="false">D17*E17</f>
        <v>53100</v>
      </c>
      <c r="L17" s="17" t="n">
        <f aca="false">J17*G17</f>
        <v>63720</v>
      </c>
      <c r="M17" s="17" t="n">
        <f aca="false">D17*H17</f>
        <v>29736</v>
      </c>
      <c r="N17" s="17" t="n">
        <f aca="false">J17*H17</f>
        <v>26762.4</v>
      </c>
      <c r="O17" s="18" t="n">
        <f aca="false">(L17-N17)-(K17-M17)</f>
        <v>13593.6</v>
      </c>
      <c r="P17" s="6" t="s">
        <v>60</v>
      </c>
    </row>
    <row r="18" customFormat="false" ht="15" hidden="false" customHeight="false" outlineLevel="0" collapsed="false">
      <c r="A18" s="4" t="s">
        <v>81</v>
      </c>
      <c r="B18" s="4" t="s">
        <v>81</v>
      </c>
      <c r="C18" s="4" t="s">
        <v>59</v>
      </c>
      <c r="D18" s="7" t="n">
        <v>43</v>
      </c>
      <c r="E18" s="7" t="n">
        <v>1080</v>
      </c>
      <c r="F18" s="7" t="n">
        <v>1125</v>
      </c>
      <c r="G18" s="7" t="n">
        <v>1125</v>
      </c>
      <c r="H18" s="5" t="n">
        <v>434.2</v>
      </c>
      <c r="I18" s="16" t="n">
        <f aca="false">G18/E18-1</f>
        <v>0.0416666666666667</v>
      </c>
      <c r="J18" s="13" t="n">
        <f aca="false">D18*(1+前提!$B$18*I18)</f>
        <v>42.4625</v>
      </c>
      <c r="K18" s="17" t="n">
        <f aca="false">D18*E18</f>
        <v>46440</v>
      </c>
      <c r="L18" s="17" t="n">
        <f aca="false">J18*G18</f>
        <v>47770.3125</v>
      </c>
      <c r="M18" s="17" t="n">
        <f aca="false">D18*H18</f>
        <v>18670.6</v>
      </c>
      <c r="N18" s="17" t="n">
        <f aca="false">J18*H18</f>
        <v>18437.2175</v>
      </c>
      <c r="O18" s="18" t="n">
        <f aca="false">(L18-N18)-(K18-M18)</f>
        <v>1563.695</v>
      </c>
      <c r="P18" s="4"/>
    </row>
    <row r="19" customFormat="false" ht="15" hidden="false" customHeight="false" outlineLevel="0" collapsed="false">
      <c r="A19" s="6" t="s">
        <v>82</v>
      </c>
      <c r="B19" s="4" t="s">
        <v>83</v>
      </c>
      <c r="C19" s="4" t="s">
        <v>59</v>
      </c>
      <c r="D19" s="7" t="n">
        <v>23</v>
      </c>
      <c r="E19" s="7" t="n">
        <v>1580</v>
      </c>
      <c r="F19" s="7" t="n">
        <v>1625</v>
      </c>
      <c r="G19" s="7" t="n">
        <v>1625</v>
      </c>
      <c r="H19" s="5" t="n">
        <v>550</v>
      </c>
      <c r="I19" s="16" t="n">
        <f aca="false">G19/E19-1</f>
        <v>0.0284810126582278</v>
      </c>
      <c r="J19" s="13" t="n">
        <f aca="false">D19*(1+前提!$B$18*I19)</f>
        <v>22.8034810126582</v>
      </c>
      <c r="K19" s="17" t="n">
        <f aca="false">D19*E19</f>
        <v>36340</v>
      </c>
      <c r="L19" s="17" t="n">
        <f aca="false">J19*G19</f>
        <v>37055.6566455696</v>
      </c>
      <c r="M19" s="17" t="n">
        <f aca="false">D19*H19</f>
        <v>12650</v>
      </c>
      <c r="N19" s="17" t="n">
        <f aca="false">J19*H19</f>
        <v>12541.914556962</v>
      </c>
      <c r="O19" s="18" t="n">
        <f aca="false">(L19-N19)-(K19-M19)</f>
        <v>823.7420886076</v>
      </c>
      <c r="P19" s="4"/>
    </row>
    <row r="20" customFormat="false" ht="15" hidden="false" customHeight="false" outlineLevel="0" collapsed="false">
      <c r="A20" s="4" t="s">
        <v>84</v>
      </c>
      <c r="B20" s="4" t="s">
        <v>84</v>
      </c>
      <c r="C20" s="4" t="s">
        <v>59</v>
      </c>
      <c r="D20" s="7" t="n">
        <v>28</v>
      </c>
      <c r="E20" s="7" t="n">
        <v>1080</v>
      </c>
      <c r="F20" s="7" t="n">
        <v>1107</v>
      </c>
      <c r="G20" s="7" t="n">
        <v>1107</v>
      </c>
      <c r="H20" s="5" t="n">
        <v>375.6</v>
      </c>
      <c r="I20" s="16" t="n">
        <f aca="false">G20/E20-1</f>
        <v>0.0249999999999999</v>
      </c>
      <c r="J20" s="13" t="n">
        <f aca="false">D20*(1+前提!$B$18*I20)</f>
        <v>27.79</v>
      </c>
      <c r="K20" s="17" t="n">
        <f aca="false">D20*E20</f>
        <v>30240</v>
      </c>
      <c r="L20" s="17" t="n">
        <f aca="false">J20*G20</f>
        <v>30763.53</v>
      </c>
      <c r="M20" s="17" t="n">
        <f aca="false">D20*H20</f>
        <v>10516.8</v>
      </c>
      <c r="N20" s="17" t="n">
        <f aca="false">J20*H20</f>
        <v>10437.924</v>
      </c>
      <c r="O20" s="18" t="n">
        <f aca="false">(L20-N20)-(K20-M20)</f>
        <v>602.406000000003</v>
      </c>
      <c r="P20" s="4"/>
    </row>
    <row r="21" customFormat="false" ht="15" hidden="false" customHeight="false" outlineLevel="0" collapsed="false">
      <c r="A21" s="4" t="s">
        <v>85</v>
      </c>
      <c r="B21" s="4" t="s">
        <v>85</v>
      </c>
      <c r="C21" s="4" t="s">
        <v>59</v>
      </c>
      <c r="D21" s="7" t="n">
        <v>14</v>
      </c>
      <c r="E21" s="7" t="n">
        <v>1980</v>
      </c>
      <c r="F21" s="7" t="n">
        <v>2025</v>
      </c>
      <c r="G21" s="7" t="n">
        <v>2025</v>
      </c>
      <c r="H21" s="5" t="n">
        <v>810</v>
      </c>
      <c r="I21" s="16" t="n">
        <f aca="false">G21/E21-1</f>
        <v>0.0227272727272727</v>
      </c>
      <c r="J21" s="13" t="n">
        <f aca="false">D21*(1+前提!$B$18*I21)</f>
        <v>13.9045454545455</v>
      </c>
      <c r="K21" s="17" t="n">
        <f aca="false">D21*E21</f>
        <v>27720</v>
      </c>
      <c r="L21" s="17" t="n">
        <f aca="false">J21*G21</f>
        <v>28156.7045454545</v>
      </c>
      <c r="M21" s="17" t="n">
        <f aca="false">D21*H21</f>
        <v>11340</v>
      </c>
      <c r="N21" s="17" t="n">
        <f aca="false">J21*H21</f>
        <v>11262.6818181818</v>
      </c>
      <c r="O21" s="18" t="n">
        <f aca="false">(L21-N21)-(K21-M21)</f>
        <v>514.022727272728</v>
      </c>
      <c r="P21" s="4"/>
    </row>
    <row r="22" customFormat="false" ht="15" hidden="false" customHeight="false" outlineLevel="0" collapsed="false">
      <c r="A22" s="4" t="s">
        <v>86</v>
      </c>
      <c r="B22" s="4" t="s">
        <v>86</v>
      </c>
      <c r="C22" s="4" t="s">
        <v>59</v>
      </c>
      <c r="D22" s="7" t="n">
        <v>24</v>
      </c>
      <c r="E22" s="7" t="n">
        <v>1080</v>
      </c>
      <c r="F22" s="7" t="n">
        <v>1107</v>
      </c>
      <c r="G22" s="7" t="n">
        <v>1107</v>
      </c>
      <c r="H22" s="5" t="n">
        <v>392.4</v>
      </c>
      <c r="I22" s="16" t="n">
        <f aca="false">G22/E22-1</f>
        <v>0.0249999999999999</v>
      </c>
      <c r="J22" s="13" t="n">
        <f aca="false">D22*(1+前提!$B$18*I22)</f>
        <v>23.82</v>
      </c>
      <c r="K22" s="17" t="n">
        <f aca="false">D22*E22</f>
        <v>25920</v>
      </c>
      <c r="L22" s="17" t="n">
        <f aca="false">J22*G22</f>
        <v>26368.74</v>
      </c>
      <c r="M22" s="17" t="n">
        <f aca="false">D22*H22</f>
        <v>9417.6</v>
      </c>
      <c r="N22" s="17" t="n">
        <f aca="false">J22*H22</f>
        <v>9346.968</v>
      </c>
      <c r="O22" s="18" t="n">
        <f aca="false">(L22-N22)-(K22-M22)</f>
        <v>519.372000000003</v>
      </c>
      <c r="P22" s="4"/>
    </row>
    <row r="23" customFormat="false" ht="15" hidden="false" customHeight="false" outlineLevel="0" collapsed="false">
      <c r="A23" s="4" t="s">
        <v>87</v>
      </c>
      <c r="B23" s="4" t="s">
        <v>88</v>
      </c>
      <c r="C23" s="4" t="s">
        <v>59</v>
      </c>
      <c r="D23" s="7" t="n">
        <v>13</v>
      </c>
      <c r="E23" s="7" t="n">
        <v>1680</v>
      </c>
      <c r="F23" s="7" t="n">
        <v>1725</v>
      </c>
      <c r="G23" s="7" t="n">
        <v>1725</v>
      </c>
      <c r="H23" s="5" t="n">
        <v>639.7</v>
      </c>
      <c r="I23" s="16" t="n">
        <f aca="false">G23/E23-1</f>
        <v>0.0267857142857142</v>
      </c>
      <c r="J23" s="13" t="n">
        <f aca="false">D23*(1+前提!$B$18*I23)</f>
        <v>12.8955357142857</v>
      </c>
      <c r="K23" s="17" t="n">
        <f aca="false">D23*E23</f>
        <v>21840</v>
      </c>
      <c r="L23" s="17" t="n">
        <f aca="false">J23*G23</f>
        <v>22244.7991071429</v>
      </c>
      <c r="M23" s="17" t="n">
        <f aca="false">D23*H23</f>
        <v>8316.1</v>
      </c>
      <c r="N23" s="17" t="n">
        <f aca="false">J23*H23</f>
        <v>8249.27419642857</v>
      </c>
      <c r="O23" s="18" t="n">
        <f aca="false">(L23-N23)-(K23-M23)</f>
        <v>471.624910714283</v>
      </c>
      <c r="P23" s="4"/>
    </row>
    <row r="24" customFormat="false" ht="15" hidden="false" customHeight="false" outlineLevel="0" collapsed="false">
      <c r="A24" s="4" t="s">
        <v>89</v>
      </c>
      <c r="B24" s="4" t="s">
        <v>90</v>
      </c>
      <c r="C24" s="4" t="s">
        <v>59</v>
      </c>
      <c r="D24" s="7" t="n">
        <v>19</v>
      </c>
      <c r="E24" s="7" t="n">
        <v>880</v>
      </c>
      <c r="F24" s="7" t="n">
        <v>907</v>
      </c>
      <c r="G24" s="7" t="n">
        <v>907</v>
      </c>
      <c r="H24" s="5" t="n">
        <v>348.6</v>
      </c>
      <c r="I24" s="16" t="n">
        <f aca="false">G24/E24-1</f>
        <v>0.0306818181818183</v>
      </c>
      <c r="J24" s="13" t="n">
        <f aca="false">D24*(1+前提!$B$18*I24)</f>
        <v>18.8251136363636</v>
      </c>
      <c r="K24" s="17" t="n">
        <f aca="false">D24*E24</f>
        <v>16720</v>
      </c>
      <c r="L24" s="17" t="n">
        <f aca="false">J24*G24</f>
        <v>17074.3780681818</v>
      </c>
      <c r="M24" s="17" t="n">
        <f aca="false">D24*H24</f>
        <v>6623.4</v>
      </c>
      <c r="N24" s="17" t="n">
        <f aca="false">J24*H24</f>
        <v>6562.43461363636</v>
      </c>
      <c r="O24" s="18" t="n">
        <f aca="false">(L24-N24)-(K24-M24)</f>
        <v>415.343454545455</v>
      </c>
      <c r="P24" s="4"/>
    </row>
    <row r="25" customFormat="false" ht="15" hidden="false" customHeight="false" outlineLevel="0" collapsed="false">
      <c r="A25" s="4" t="s">
        <v>91</v>
      </c>
      <c r="B25" s="4" t="s">
        <v>91</v>
      </c>
      <c r="C25" s="4" t="s">
        <v>59</v>
      </c>
      <c r="D25" s="7" t="n">
        <v>17</v>
      </c>
      <c r="E25" s="7" t="n">
        <v>880</v>
      </c>
      <c r="F25" s="7" t="n">
        <v>907</v>
      </c>
      <c r="G25" s="7" t="n">
        <v>907</v>
      </c>
      <c r="H25" s="5" t="n">
        <v>294</v>
      </c>
      <c r="I25" s="16" t="n">
        <f aca="false">G25/E25-1</f>
        <v>0.0306818181818183</v>
      </c>
      <c r="J25" s="13" t="n">
        <f aca="false">D25*(1+前提!$B$18*I25)</f>
        <v>16.8435227272727</v>
      </c>
      <c r="K25" s="17" t="n">
        <f aca="false">D25*E25</f>
        <v>14960</v>
      </c>
      <c r="L25" s="17" t="n">
        <f aca="false">J25*G25</f>
        <v>15277.0751136364</v>
      </c>
      <c r="M25" s="17" t="n">
        <f aca="false">D25*H25</f>
        <v>4998</v>
      </c>
      <c r="N25" s="17" t="n">
        <f aca="false">J25*H25</f>
        <v>4951.99568181818</v>
      </c>
      <c r="O25" s="18" t="n">
        <f aca="false">(L25-N25)-(K25-M25)</f>
        <v>363.079431818182</v>
      </c>
      <c r="P25" s="4"/>
    </row>
    <row r="26" customFormat="false" ht="15" hidden="false" customHeight="false" outlineLevel="0" collapsed="false">
      <c r="A26" s="4" t="s">
        <v>92</v>
      </c>
      <c r="B26" s="4" t="s">
        <v>93</v>
      </c>
      <c r="C26" s="4" t="s">
        <v>59</v>
      </c>
      <c r="D26" s="7" t="n">
        <v>10</v>
      </c>
      <c r="E26" s="7" t="n">
        <v>980</v>
      </c>
      <c r="F26" s="7" t="n">
        <v>1025</v>
      </c>
      <c r="G26" s="7" t="n">
        <v>1025</v>
      </c>
      <c r="H26" s="5" t="n">
        <v>371.3</v>
      </c>
      <c r="I26" s="16" t="n">
        <f aca="false">G26/E26-1</f>
        <v>0.0459183673469388</v>
      </c>
      <c r="J26" s="13" t="n">
        <f aca="false">D26*(1+前提!$B$18*I26)</f>
        <v>9.86224489795918</v>
      </c>
      <c r="K26" s="17" t="n">
        <f aca="false">D26*E26</f>
        <v>9800</v>
      </c>
      <c r="L26" s="17" t="n">
        <f aca="false">J26*G26</f>
        <v>10108.8010204082</v>
      </c>
      <c r="M26" s="17" t="n">
        <f aca="false">D26*H26</f>
        <v>3713</v>
      </c>
      <c r="N26" s="17" t="n">
        <f aca="false">J26*H26</f>
        <v>3661.85153061225</v>
      </c>
      <c r="O26" s="18" t="n">
        <f aca="false">(L26-N26)-(K26-M26)</f>
        <v>359.949489795918</v>
      </c>
      <c r="P26" s="4"/>
    </row>
    <row r="27" customFormat="false" ht="15" hidden="false" customHeight="false" outlineLevel="0" collapsed="false">
      <c r="A27" s="4" t="s">
        <v>94</v>
      </c>
      <c r="B27" s="4" t="s">
        <v>94</v>
      </c>
      <c r="C27" s="4" t="s">
        <v>59</v>
      </c>
      <c r="D27" s="7" t="n">
        <v>9</v>
      </c>
      <c r="E27" s="7" t="n">
        <v>1080</v>
      </c>
      <c r="F27" s="7" t="n">
        <v>1107</v>
      </c>
      <c r="G27" s="7" t="n">
        <v>1107</v>
      </c>
      <c r="H27" s="5" t="n">
        <v>287.4</v>
      </c>
      <c r="I27" s="16" t="n">
        <f aca="false">G27/E27-1</f>
        <v>0.0249999999999999</v>
      </c>
      <c r="J27" s="13" t="n">
        <f aca="false">D27*(1+前提!$B$18*I27)</f>
        <v>8.9325</v>
      </c>
      <c r="K27" s="17" t="n">
        <f aca="false">D27*E27</f>
        <v>9720</v>
      </c>
      <c r="L27" s="17" t="n">
        <f aca="false">J27*G27</f>
        <v>9888.2775</v>
      </c>
      <c r="M27" s="17" t="n">
        <f aca="false">D27*H27</f>
        <v>2586.6</v>
      </c>
      <c r="N27" s="17" t="n">
        <f aca="false">J27*H27</f>
        <v>2567.2005</v>
      </c>
      <c r="O27" s="18" t="n">
        <f aca="false">(L27-N27)-(K27-M27)</f>
        <v>187.677000000002</v>
      </c>
      <c r="P27" s="4"/>
    </row>
    <row r="28" customFormat="false" ht="15" hidden="false" customHeight="false" outlineLevel="0" collapsed="false">
      <c r="A28" s="4" t="s">
        <v>95</v>
      </c>
      <c r="B28" s="4" t="s">
        <v>96</v>
      </c>
      <c r="C28" s="4" t="s">
        <v>59</v>
      </c>
      <c r="D28" s="7" t="n">
        <v>21</v>
      </c>
      <c r="E28" s="7" t="n">
        <v>380</v>
      </c>
      <c r="F28" s="7" t="n">
        <v>398</v>
      </c>
      <c r="G28" s="7" t="n">
        <v>398</v>
      </c>
      <c r="H28" s="5" t="n">
        <v>76.7</v>
      </c>
      <c r="I28" s="16" t="n">
        <f aca="false">G28/E28-1</f>
        <v>0.0473684210526315</v>
      </c>
      <c r="J28" s="13" t="n">
        <f aca="false">D28*(1+前提!$B$18*I28)</f>
        <v>20.7015789473684</v>
      </c>
      <c r="K28" s="17" t="n">
        <f aca="false">D28*E28</f>
        <v>7980</v>
      </c>
      <c r="L28" s="17" t="n">
        <f aca="false">J28*G28</f>
        <v>8239.22842105263</v>
      </c>
      <c r="M28" s="17" t="n">
        <f aca="false">D28*H28</f>
        <v>1610.7</v>
      </c>
      <c r="N28" s="17" t="n">
        <f aca="false">J28*H28</f>
        <v>1587.81110526316</v>
      </c>
      <c r="O28" s="18" t="n">
        <f aca="false">(L28-N28)-(K28-M28)</f>
        <v>282.117315789475</v>
      </c>
      <c r="P28" s="4"/>
    </row>
    <row r="29" customFormat="false" ht="15" hidden="false" customHeight="false" outlineLevel="0" collapsed="false">
      <c r="A29" s="6" t="s">
        <v>97</v>
      </c>
      <c r="B29" s="6" t="s">
        <v>75</v>
      </c>
      <c r="C29" s="4" t="s">
        <v>59</v>
      </c>
      <c r="D29" s="7" t="n">
        <v>4</v>
      </c>
      <c r="E29" s="7" t="n">
        <v>1030</v>
      </c>
      <c r="F29" s="7" t="n">
        <v>1057</v>
      </c>
      <c r="G29" s="7" t="n">
        <v>1057</v>
      </c>
      <c r="H29" s="5" t="n">
        <v>353.4</v>
      </c>
      <c r="I29" s="16" t="n">
        <f aca="false">G29/E29-1</f>
        <v>0.0262135922330098</v>
      </c>
      <c r="J29" s="13" t="n">
        <f aca="false">D29*(1+前提!$B$18*I29)</f>
        <v>3.96854368932039</v>
      </c>
      <c r="K29" s="17" t="n">
        <f aca="false">D29*E29</f>
        <v>4120</v>
      </c>
      <c r="L29" s="17" t="n">
        <f aca="false">J29*G29</f>
        <v>4194.75067961165</v>
      </c>
      <c r="M29" s="17" t="n">
        <f aca="false">D29*H29</f>
        <v>1413.6</v>
      </c>
      <c r="N29" s="17" t="n">
        <f aca="false">J29*H29</f>
        <v>1402.48333980583</v>
      </c>
      <c r="O29" s="18" t="n">
        <f aca="false">(L29-N29)-(K29-M29)</f>
        <v>85.8673398058249</v>
      </c>
      <c r="P29" s="4"/>
    </row>
    <row r="30" customFormat="false" ht="15" hidden="false" customHeight="false" outlineLevel="0" collapsed="false">
      <c r="A30" s="4" t="s">
        <v>98</v>
      </c>
      <c r="B30" s="4" t="s">
        <v>98</v>
      </c>
      <c r="C30" s="4" t="s">
        <v>59</v>
      </c>
      <c r="D30" s="7" t="n">
        <v>9</v>
      </c>
      <c r="E30" s="7" t="n">
        <v>380</v>
      </c>
      <c r="F30" s="7" t="n">
        <v>398</v>
      </c>
      <c r="G30" s="7" t="n">
        <v>398</v>
      </c>
      <c r="H30" s="5" t="n">
        <v>145.1</v>
      </c>
      <c r="I30" s="16" t="n">
        <f aca="false">G30/E30-1</f>
        <v>0.0473684210526315</v>
      </c>
      <c r="J30" s="13" t="n">
        <f aca="false">D30*(1+前提!$B$18*I30)</f>
        <v>8.8721052631579</v>
      </c>
      <c r="K30" s="17" t="n">
        <f aca="false">D30*E30</f>
        <v>3420</v>
      </c>
      <c r="L30" s="17" t="n">
        <f aca="false">J30*G30</f>
        <v>3531.09789473684</v>
      </c>
      <c r="M30" s="17" t="n">
        <f aca="false">D30*H30</f>
        <v>1305.9</v>
      </c>
      <c r="N30" s="17" t="n">
        <f aca="false">J30*H30</f>
        <v>1287.34247368421</v>
      </c>
      <c r="O30" s="18" t="n">
        <f aca="false">(L30-N30)-(K30-M30)</f>
        <v>129.655421052631</v>
      </c>
      <c r="P30" s="4"/>
    </row>
    <row r="31" customFormat="false" ht="15" hidden="false" customHeight="false" outlineLevel="0" collapsed="false">
      <c r="A31" s="4" t="s">
        <v>99</v>
      </c>
      <c r="B31" s="4" t="s">
        <v>99</v>
      </c>
      <c r="C31" s="4" t="s">
        <v>59</v>
      </c>
      <c r="D31" s="7" t="n">
        <v>10</v>
      </c>
      <c r="E31" s="7" t="n">
        <v>280</v>
      </c>
      <c r="F31" s="7" t="n">
        <v>298</v>
      </c>
      <c r="G31" s="7" t="n">
        <v>298</v>
      </c>
      <c r="H31" s="5" t="n">
        <v>133.1</v>
      </c>
      <c r="I31" s="16" t="n">
        <f aca="false">G31/E31-1</f>
        <v>0.0642857142857143</v>
      </c>
      <c r="J31" s="13" t="n">
        <f aca="false">D31*(1+前提!$B$18*I31)</f>
        <v>9.80714285714286</v>
      </c>
      <c r="K31" s="17" t="n">
        <f aca="false">D31*E31</f>
        <v>2800</v>
      </c>
      <c r="L31" s="17" t="n">
        <f aca="false">J31*G31</f>
        <v>2922.52857142857</v>
      </c>
      <c r="M31" s="17" t="n">
        <f aca="false">D31*H31</f>
        <v>1331</v>
      </c>
      <c r="N31" s="17" t="n">
        <f aca="false">J31*H31</f>
        <v>1305.33071428571</v>
      </c>
      <c r="O31" s="18" t="n">
        <f aca="false">(L31-N31)-(K31-M31)</f>
        <v>148.197857142857</v>
      </c>
      <c r="P31" s="4"/>
    </row>
    <row r="32" customFormat="false" ht="15" hidden="false" customHeight="false" outlineLevel="0" collapsed="false">
      <c r="A32" s="4" t="s">
        <v>100</v>
      </c>
      <c r="B32" s="4" t="s">
        <v>80</v>
      </c>
      <c r="C32" s="4" t="s">
        <v>59</v>
      </c>
      <c r="D32" s="7" t="n">
        <v>3</v>
      </c>
      <c r="E32" s="7" t="n">
        <v>150</v>
      </c>
      <c r="F32" s="7" t="n">
        <v>168</v>
      </c>
      <c r="G32" s="7" t="n">
        <v>200</v>
      </c>
      <c r="H32" s="5" t="n">
        <v>84</v>
      </c>
      <c r="I32" s="16" t="n">
        <f aca="false">G32/E32-1</f>
        <v>0.333333333333333</v>
      </c>
      <c r="J32" s="13" t="n">
        <f aca="false">D32*(1+前提!$B$18*I32)</f>
        <v>2.7</v>
      </c>
      <c r="K32" s="17" t="n">
        <f aca="false">D32*E32</f>
        <v>450</v>
      </c>
      <c r="L32" s="17" t="n">
        <f aca="false">J32*G32</f>
        <v>540</v>
      </c>
      <c r="M32" s="17" t="n">
        <f aca="false">D32*H32</f>
        <v>252</v>
      </c>
      <c r="N32" s="17" t="n">
        <f aca="false">J32*H32</f>
        <v>226.8</v>
      </c>
      <c r="O32" s="18" t="n">
        <f aca="false">(L32-N32)-(K32-M32)</f>
        <v>115.2</v>
      </c>
      <c r="P32" s="6" t="s">
        <v>60</v>
      </c>
    </row>
    <row r="33" customFormat="false" ht="15" hidden="false" customHeight="false" outlineLevel="0" collapsed="false">
      <c r="A33" s="6" t="s">
        <v>101</v>
      </c>
      <c r="B33" s="4" t="s">
        <v>102</v>
      </c>
      <c r="C33" s="4" t="s">
        <v>103</v>
      </c>
      <c r="D33" s="7" t="n">
        <v>416</v>
      </c>
      <c r="E33" s="7" t="n">
        <v>777</v>
      </c>
      <c r="F33" s="7" t="n">
        <v>777</v>
      </c>
      <c r="G33" s="7" t="n">
        <v>777</v>
      </c>
      <c r="H33" s="5" t="n">
        <v>284.4</v>
      </c>
      <c r="I33" s="16" t="n">
        <f aca="false">G33/E33-1</f>
        <v>0</v>
      </c>
      <c r="J33" s="13" t="n">
        <f aca="false">D33*(1+前提!$B$18*I33)</f>
        <v>416</v>
      </c>
      <c r="K33" s="17" t="n">
        <f aca="false">D33*E33</f>
        <v>323232</v>
      </c>
      <c r="L33" s="17" t="n">
        <f aca="false">J33*G33</f>
        <v>323232</v>
      </c>
      <c r="M33" s="17" t="n">
        <f aca="false">D33*H33</f>
        <v>118310.4</v>
      </c>
      <c r="N33" s="17" t="n">
        <f aca="false">J33*H33</f>
        <v>118310.4</v>
      </c>
      <c r="O33" s="18" t="n">
        <f aca="false">(L33-N33)-(K33-M33)</f>
        <v>0</v>
      </c>
      <c r="P33" s="4"/>
    </row>
    <row r="34" customFormat="false" ht="15" hidden="false" customHeight="false" outlineLevel="0" collapsed="false">
      <c r="A34" s="6" t="s">
        <v>104</v>
      </c>
      <c r="B34" s="6" t="s">
        <v>105</v>
      </c>
      <c r="C34" s="4" t="s">
        <v>103</v>
      </c>
      <c r="D34" s="7" t="n">
        <v>279</v>
      </c>
      <c r="E34" s="7" t="n">
        <v>1010</v>
      </c>
      <c r="F34" s="7" t="n">
        <v>1010</v>
      </c>
      <c r="G34" s="7" t="n">
        <v>1010</v>
      </c>
      <c r="H34" s="5" t="n">
        <v>312.7</v>
      </c>
      <c r="I34" s="16" t="n">
        <f aca="false">G34/E34-1</f>
        <v>0</v>
      </c>
      <c r="J34" s="13" t="n">
        <f aca="false">D34*(1+前提!$B$18*I34)</f>
        <v>279</v>
      </c>
      <c r="K34" s="17" t="n">
        <f aca="false">D34*E34</f>
        <v>281790</v>
      </c>
      <c r="L34" s="17" t="n">
        <f aca="false">J34*G34</f>
        <v>281790</v>
      </c>
      <c r="M34" s="17" t="n">
        <f aca="false">D34*H34</f>
        <v>87243.3</v>
      </c>
      <c r="N34" s="17" t="n">
        <f aca="false">J34*H34</f>
        <v>87243.3</v>
      </c>
      <c r="O34" s="18" t="n">
        <f aca="false">(L34-N34)-(K34-M34)</f>
        <v>0</v>
      </c>
      <c r="P34" s="4"/>
    </row>
    <row r="35" customFormat="false" ht="15" hidden="false" customHeight="false" outlineLevel="0" collapsed="false">
      <c r="A35" s="6" t="s">
        <v>106</v>
      </c>
      <c r="B35" s="4" t="s">
        <v>107</v>
      </c>
      <c r="C35" s="4" t="s">
        <v>103</v>
      </c>
      <c r="D35" s="7" t="n">
        <v>327</v>
      </c>
      <c r="E35" s="7" t="n">
        <v>777</v>
      </c>
      <c r="F35" s="7" t="n">
        <v>777</v>
      </c>
      <c r="G35" s="7" t="n">
        <v>777</v>
      </c>
      <c r="H35" s="5" t="n">
        <v>307.2</v>
      </c>
      <c r="I35" s="16" t="n">
        <f aca="false">G35/E35-1</f>
        <v>0</v>
      </c>
      <c r="J35" s="13" t="n">
        <f aca="false">D35*(1+前提!$B$18*I35)</f>
        <v>327</v>
      </c>
      <c r="K35" s="17" t="n">
        <f aca="false">D35*E35</f>
        <v>254079</v>
      </c>
      <c r="L35" s="17" t="n">
        <f aca="false">J35*G35</f>
        <v>254079</v>
      </c>
      <c r="M35" s="17" t="n">
        <f aca="false">D35*H35</f>
        <v>100454.4</v>
      </c>
      <c r="N35" s="17" t="n">
        <f aca="false">J35*H35</f>
        <v>100454.4</v>
      </c>
      <c r="O35" s="18" t="n">
        <f aca="false">(L35-N35)-(K35-M35)</f>
        <v>0</v>
      </c>
      <c r="P35" s="4"/>
    </row>
    <row r="36" customFormat="false" ht="15" hidden="false" customHeight="false" outlineLevel="0" collapsed="false">
      <c r="A36" s="6" t="s">
        <v>108</v>
      </c>
      <c r="B36" s="4" t="s">
        <v>109</v>
      </c>
      <c r="C36" s="4" t="s">
        <v>103</v>
      </c>
      <c r="D36" s="7" t="n">
        <v>281</v>
      </c>
      <c r="E36" s="7" t="n">
        <v>777</v>
      </c>
      <c r="F36" s="7" t="n">
        <v>777</v>
      </c>
      <c r="G36" s="7" t="n">
        <v>777</v>
      </c>
      <c r="H36" s="5" t="n">
        <v>321.7</v>
      </c>
      <c r="I36" s="16" t="n">
        <f aca="false">G36/E36-1</f>
        <v>0</v>
      </c>
      <c r="J36" s="13" t="n">
        <f aca="false">D36*(1+前提!$B$18*I36)</f>
        <v>281</v>
      </c>
      <c r="K36" s="17" t="n">
        <f aca="false">D36*E36</f>
        <v>218337</v>
      </c>
      <c r="L36" s="17" t="n">
        <f aca="false">J36*G36</f>
        <v>218337</v>
      </c>
      <c r="M36" s="17" t="n">
        <f aca="false">D36*H36</f>
        <v>90397.7</v>
      </c>
      <c r="N36" s="17" t="n">
        <f aca="false">J36*H36</f>
        <v>90397.7</v>
      </c>
      <c r="O36" s="18" t="n">
        <f aca="false">(L36-N36)-(K36-M36)</f>
        <v>0</v>
      </c>
      <c r="P36" s="4"/>
    </row>
    <row r="37" customFormat="false" ht="15" hidden="false" customHeight="false" outlineLevel="0" collapsed="false">
      <c r="A37" s="6" t="s">
        <v>110</v>
      </c>
      <c r="B37" s="4" t="s">
        <v>111</v>
      </c>
      <c r="C37" s="4" t="s">
        <v>103</v>
      </c>
      <c r="D37" s="7" t="n">
        <v>180</v>
      </c>
      <c r="E37" s="7" t="n">
        <v>777</v>
      </c>
      <c r="F37" s="7" t="n">
        <v>777</v>
      </c>
      <c r="G37" s="7" t="n">
        <v>777</v>
      </c>
      <c r="H37" s="5" t="n">
        <v>307.2</v>
      </c>
      <c r="I37" s="16" t="n">
        <f aca="false">G37/E37-1</f>
        <v>0</v>
      </c>
      <c r="J37" s="13" t="n">
        <f aca="false">D37*(1+前提!$B$18*I37)</f>
        <v>180</v>
      </c>
      <c r="K37" s="17" t="n">
        <f aca="false">D37*E37</f>
        <v>139860</v>
      </c>
      <c r="L37" s="17" t="n">
        <f aca="false">J37*G37</f>
        <v>139860</v>
      </c>
      <c r="M37" s="17" t="n">
        <f aca="false">D37*H37</f>
        <v>55296</v>
      </c>
      <c r="N37" s="17" t="n">
        <f aca="false">J37*H37</f>
        <v>55296</v>
      </c>
      <c r="O37" s="18" t="n">
        <f aca="false">(L37-N37)-(K37-M37)</f>
        <v>0</v>
      </c>
      <c r="P37" s="4"/>
    </row>
    <row r="38" customFormat="false" ht="15" hidden="false" customHeight="false" outlineLevel="0" collapsed="false">
      <c r="A38" s="6" t="s">
        <v>112</v>
      </c>
      <c r="B38" s="6" t="s">
        <v>113</v>
      </c>
      <c r="C38" s="4" t="s">
        <v>103</v>
      </c>
      <c r="D38" s="7" t="n">
        <v>80</v>
      </c>
      <c r="E38" s="7" t="n">
        <v>930</v>
      </c>
      <c r="F38" s="7" t="n">
        <v>1203</v>
      </c>
      <c r="G38" s="7" t="n">
        <v>1203</v>
      </c>
      <c r="H38" s="5" t="n">
        <v>568.8</v>
      </c>
      <c r="I38" s="16" t="n">
        <f aca="false">G38/E38-1</f>
        <v>0.293548387096774</v>
      </c>
      <c r="J38" s="13" t="n">
        <f aca="false">D38*(1+前提!$B$18*I38)</f>
        <v>72.9548387096774</v>
      </c>
      <c r="K38" s="17" t="n">
        <f aca="false">D38*E38</f>
        <v>74400</v>
      </c>
      <c r="L38" s="17" t="n">
        <f aca="false">J38*G38</f>
        <v>87764.6709677419</v>
      </c>
      <c r="M38" s="17" t="n">
        <f aca="false">D38*H38</f>
        <v>45504</v>
      </c>
      <c r="N38" s="17" t="n">
        <f aca="false">J38*H38</f>
        <v>41496.7122580645</v>
      </c>
      <c r="O38" s="18" t="n">
        <f aca="false">(L38-N38)-(K38-M38)</f>
        <v>17371.9587096774</v>
      </c>
      <c r="P38" s="4"/>
    </row>
    <row r="39" customFormat="false" ht="15" hidden="false" customHeight="false" outlineLevel="0" collapsed="false">
      <c r="A39" s="6" t="s">
        <v>114</v>
      </c>
      <c r="B39" s="4" t="s">
        <v>115</v>
      </c>
      <c r="C39" s="4" t="s">
        <v>103</v>
      </c>
      <c r="D39" s="7" t="n">
        <v>128</v>
      </c>
      <c r="E39" s="7" t="n">
        <v>680</v>
      </c>
      <c r="F39" s="7" t="n">
        <v>698</v>
      </c>
      <c r="G39" s="7" t="n">
        <v>698</v>
      </c>
      <c r="H39" s="5" t="n">
        <v>53.5</v>
      </c>
      <c r="I39" s="16" t="n">
        <f aca="false">G39/E39-1</f>
        <v>0.026470588235294</v>
      </c>
      <c r="J39" s="13" t="n">
        <f aca="false">D39*(1+前提!$B$18*I39)</f>
        <v>126.983529411765</v>
      </c>
      <c r="K39" s="17" t="n">
        <f aca="false">D39*E39</f>
        <v>87040</v>
      </c>
      <c r="L39" s="17" t="n">
        <f aca="false">J39*G39</f>
        <v>88634.5035294118</v>
      </c>
      <c r="M39" s="17" t="n">
        <f aca="false">D39*H39</f>
        <v>6848</v>
      </c>
      <c r="N39" s="17" t="n">
        <f aca="false">J39*H39</f>
        <v>6793.61882352941</v>
      </c>
      <c r="O39" s="18" t="n">
        <f aca="false">(L39-N39)-(K39-M39)</f>
        <v>1648.88470588236</v>
      </c>
      <c r="P39" s="4"/>
    </row>
    <row r="40" customFormat="false" ht="15" hidden="false" customHeight="false" outlineLevel="0" collapsed="false">
      <c r="A40" s="6" t="s">
        <v>116</v>
      </c>
      <c r="B40" s="4" t="s">
        <v>117</v>
      </c>
      <c r="C40" s="4" t="s">
        <v>103</v>
      </c>
      <c r="D40" s="7" t="n">
        <v>97</v>
      </c>
      <c r="E40" s="7" t="n">
        <v>580</v>
      </c>
      <c r="F40" s="7" t="n">
        <v>607</v>
      </c>
      <c r="G40" s="7" t="n">
        <v>607</v>
      </c>
      <c r="H40" s="5" t="n">
        <v>76.4288496788497</v>
      </c>
      <c r="I40" s="16" t="n">
        <f aca="false">G40/E40-1</f>
        <v>0.046551724137931</v>
      </c>
      <c r="J40" s="13" t="n">
        <f aca="false">D40*(1+前提!$B$18*I40)</f>
        <v>95.6453448275862</v>
      </c>
      <c r="K40" s="17" t="n">
        <f aca="false">D40*E40</f>
        <v>56260</v>
      </c>
      <c r="L40" s="17" t="n">
        <f aca="false">J40*G40</f>
        <v>58056.7243103448</v>
      </c>
      <c r="M40" s="17" t="n">
        <f aca="false">D40*H40</f>
        <v>7413.59841884842</v>
      </c>
      <c r="N40" s="17" t="n">
        <f aca="false">J40*H40</f>
        <v>7310.06368230933</v>
      </c>
      <c r="O40" s="18" t="n">
        <f aca="false">(L40-N40)-(K40-M40)</f>
        <v>1900.25904688393</v>
      </c>
      <c r="P40" s="4"/>
    </row>
    <row r="41" customFormat="false" ht="15" hidden="false" customHeight="false" outlineLevel="0" collapsed="false">
      <c r="A41" s="6" t="s">
        <v>118</v>
      </c>
      <c r="B41" s="4" t="s">
        <v>119</v>
      </c>
      <c r="C41" s="4" t="s">
        <v>103</v>
      </c>
      <c r="D41" s="7" t="n">
        <v>44</v>
      </c>
      <c r="E41" s="7" t="n">
        <v>880</v>
      </c>
      <c r="F41" s="7" t="n">
        <v>898</v>
      </c>
      <c r="G41" s="7" t="n">
        <v>898</v>
      </c>
      <c r="H41" s="5" t="n">
        <v>296</v>
      </c>
      <c r="I41" s="16" t="n">
        <f aca="false">G41/E41-1</f>
        <v>0.0204545454545455</v>
      </c>
      <c r="J41" s="13" t="n">
        <f aca="false">D41*(1+前提!$B$18*I41)</f>
        <v>43.73</v>
      </c>
      <c r="K41" s="17" t="n">
        <f aca="false">D41*E41</f>
        <v>38720</v>
      </c>
      <c r="L41" s="17" t="n">
        <f aca="false">J41*G41</f>
        <v>39269.54</v>
      </c>
      <c r="M41" s="17" t="n">
        <f aca="false">D41*H41</f>
        <v>13024</v>
      </c>
      <c r="N41" s="17" t="n">
        <f aca="false">J41*H41</f>
        <v>12944.08</v>
      </c>
      <c r="O41" s="18" t="n">
        <f aca="false">(L41-N41)-(K41-M41)</f>
        <v>629.459999999999</v>
      </c>
      <c r="P41" s="4"/>
    </row>
    <row r="42" customFormat="false" ht="15" hidden="false" customHeight="false" outlineLevel="0" collapsed="false">
      <c r="A42" s="6" t="s">
        <v>120</v>
      </c>
      <c r="B42" s="4" t="s">
        <v>121</v>
      </c>
      <c r="C42" s="4" t="s">
        <v>103</v>
      </c>
      <c r="D42" s="7" t="n">
        <v>65</v>
      </c>
      <c r="E42" s="7" t="n">
        <v>580</v>
      </c>
      <c r="F42" s="7" t="n">
        <v>607</v>
      </c>
      <c r="G42" s="7" t="n">
        <v>607</v>
      </c>
      <c r="H42" s="5" t="n">
        <v>81.8</v>
      </c>
      <c r="I42" s="16" t="n">
        <f aca="false">G42/E42-1</f>
        <v>0.046551724137931</v>
      </c>
      <c r="J42" s="13" t="n">
        <f aca="false">D42*(1+前提!$B$18*I42)</f>
        <v>64.0922413793104</v>
      </c>
      <c r="K42" s="17" t="n">
        <f aca="false">D42*E42</f>
        <v>37700</v>
      </c>
      <c r="L42" s="17" t="n">
        <f aca="false">J42*G42</f>
        <v>38903.9905172414</v>
      </c>
      <c r="M42" s="17" t="n">
        <f aca="false">D42*H42</f>
        <v>5317</v>
      </c>
      <c r="N42" s="17" t="n">
        <f aca="false">J42*H42</f>
        <v>5242.74534482759</v>
      </c>
      <c r="O42" s="18" t="n">
        <f aca="false">(L42-N42)-(K42-M42)</f>
        <v>1278.2451724138</v>
      </c>
      <c r="P42" s="4"/>
    </row>
    <row r="43" customFormat="false" ht="15" hidden="false" customHeight="false" outlineLevel="0" collapsed="false">
      <c r="A43" s="6" t="s">
        <v>122</v>
      </c>
      <c r="B43" s="4" t="s">
        <v>123</v>
      </c>
      <c r="C43" s="4" t="s">
        <v>103</v>
      </c>
      <c r="D43" s="7" t="n">
        <v>39</v>
      </c>
      <c r="E43" s="7" t="n">
        <v>880</v>
      </c>
      <c r="F43" s="7" t="n">
        <v>898</v>
      </c>
      <c r="G43" s="7" t="n">
        <v>898</v>
      </c>
      <c r="H43" s="5" t="n">
        <v>310</v>
      </c>
      <c r="I43" s="16" t="n">
        <f aca="false">G43/E43-1</f>
        <v>0.0204545454545455</v>
      </c>
      <c r="J43" s="13" t="n">
        <f aca="false">D43*(1+前提!$B$18*I43)</f>
        <v>38.7606818181818</v>
      </c>
      <c r="K43" s="17" t="n">
        <f aca="false">D43*E43</f>
        <v>34320</v>
      </c>
      <c r="L43" s="17" t="n">
        <f aca="false">J43*G43</f>
        <v>34807.0922727273</v>
      </c>
      <c r="M43" s="17" t="n">
        <f aca="false">D43*H43</f>
        <v>12090</v>
      </c>
      <c r="N43" s="17" t="n">
        <f aca="false">J43*H43</f>
        <v>12015.8113636364</v>
      </c>
      <c r="O43" s="18" t="n">
        <f aca="false">(L43-N43)-(K43-M43)</f>
        <v>561.280909090914</v>
      </c>
      <c r="P43" s="4"/>
    </row>
    <row r="44" customFormat="false" ht="15" hidden="false" customHeight="false" outlineLevel="0" collapsed="false">
      <c r="A44" s="6" t="s">
        <v>124</v>
      </c>
      <c r="B44" s="4" t="s">
        <v>125</v>
      </c>
      <c r="C44" s="4" t="s">
        <v>103</v>
      </c>
      <c r="D44" s="7" t="n">
        <v>72</v>
      </c>
      <c r="E44" s="7" t="n">
        <v>580</v>
      </c>
      <c r="F44" s="7" t="n">
        <v>607</v>
      </c>
      <c r="G44" s="7" t="n">
        <v>607</v>
      </c>
      <c r="H44" s="5" t="n">
        <v>80.4</v>
      </c>
      <c r="I44" s="16" t="n">
        <f aca="false">G44/E44-1</f>
        <v>0.046551724137931</v>
      </c>
      <c r="J44" s="13" t="n">
        <f aca="false">D44*(1+前提!$B$18*I44)</f>
        <v>70.9944827586207</v>
      </c>
      <c r="K44" s="17" t="n">
        <f aca="false">D44*E44</f>
        <v>41760</v>
      </c>
      <c r="L44" s="17" t="n">
        <f aca="false">J44*G44</f>
        <v>43093.6510344828</v>
      </c>
      <c r="M44" s="17" t="n">
        <f aca="false">D44*H44</f>
        <v>5788.8</v>
      </c>
      <c r="N44" s="17" t="n">
        <f aca="false">J44*H44</f>
        <v>5707.9564137931</v>
      </c>
      <c r="O44" s="18" t="n">
        <f aca="false">(L44-N44)-(K44-M44)</f>
        <v>1414.49462068966</v>
      </c>
      <c r="P44" s="4"/>
    </row>
    <row r="45" customFormat="false" ht="15" hidden="false" customHeight="false" outlineLevel="0" collapsed="false">
      <c r="A45" s="6" t="s">
        <v>126</v>
      </c>
      <c r="B45" s="4" t="s">
        <v>127</v>
      </c>
      <c r="C45" s="4" t="s">
        <v>103</v>
      </c>
      <c r="D45" s="7" t="n">
        <v>54</v>
      </c>
      <c r="E45" s="7" t="n">
        <v>580</v>
      </c>
      <c r="F45" s="7" t="n">
        <v>607</v>
      </c>
      <c r="G45" s="7" t="n">
        <v>607</v>
      </c>
      <c r="H45" s="5" t="n">
        <v>81.8</v>
      </c>
      <c r="I45" s="16" t="n">
        <f aca="false">G45/E45-1</f>
        <v>0.046551724137931</v>
      </c>
      <c r="J45" s="13" t="n">
        <f aca="false">D45*(1+前提!$B$18*I45)</f>
        <v>53.2458620689655</v>
      </c>
      <c r="K45" s="17" t="n">
        <f aca="false">D45*E45</f>
        <v>31320</v>
      </c>
      <c r="L45" s="17" t="n">
        <f aca="false">J45*G45</f>
        <v>32320.2382758621</v>
      </c>
      <c r="M45" s="17" t="n">
        <f aca="false">D45*H45</f>
        <v>4417.2</v>
      </c>
      <c r="N45" s="17" t="n">
        <f aca="false">J45*H45</f>
        <v>4355.51151724138</v>
      </c>
      <c r="O45" s="18" t="n">
        <f aca="false">(L45-N45)-(K45-M45)</f>
        <v>1061.9267586207</v>
      </c>
      <c r="P45" s="4"/>
    </row>
    <row r="46" customFormat="false" ht="15" hidden="false" customHeight="false" outlineLevel="0" collapsed="false">
      <c r="A46" s="6" t="s">
        <v>128</v>
      </c>
      <c r="B46" s="4" t="s">
        <v>129</v>
      </c>
      <c r="C46" s="4" t="s">
        <v>103</v>
      </c>
      <c r="D46" s="7" t="n">
        <v>48</v>
      </c>
      <c r="E46" s="7" t="n">
        <v>580</v>
      </c>
      <c r="F46" s="7" t="n">
        <v>607</v>
      </c>
      <c r="G46" s="7" t="n">
        <v>607</v>
      </c>
      <c r="H46" s="5" t="n">
        <v>133.6</v>
      </c>
      <c r="I46" s="16" t="n">
        <f aca="false">G46/E46-1</f>
        <v>0.046551724137931</v>
      </c>
      <c r="J46" s="13" t="n">
        <f aca="false">D46*(1+前提!$B$18*I46)</f>
        <v>47.3296551724138</v>
      </c>
      <c r="K46" s="17" t="n">
        <f aca="false">D46*E46</f>
        <v>27840</v>
      </c>
      <c r="L46" s="17" t="n">
        <f aca="false">J46*G46</f>
        <v>28729.1006896552</v>
      </c>
      <c r="M46" s="17" t="n">
        <f aca="false">D46*H46</f>
        <v>6412.8</v>
      </c>
      <c r="N46" s="17" t="n">
        <f aca="false">J46*H46</f>
        <v>6323.24193103448</v>
      </c>
      <c r="O46" s="18" t="n">
        <f aca="false">(L46-N46)-(K46-M46)</f>
        <v>978.658758620692</v>
      </c>
      <c r="P46" s="4"/>
    </row>
    <row r="47" customFormat="false" ht="15" hidden="false" customHeight="false" outlineLevel="0" collapsed="false">
      <c r="A47" s="6" t="s">
        <v>130</v>
      </c>
      <c r="B47" s="4" t="s">
        <v>131</v>
      </c>
      <c r="C47" s="4" t="s">
        <v>103</v>
      </c>
      <c r="D47" s="7" t="n">
        <v>26</v>
      </c>
      <c r="E47" s="7" t="n">
        <v>880</v>
      </c>
      <c r="F47" s="7" t="n">
        <v>898</v>
      </c>
      <c r="G47" s="7" t="n">
        <v>898</v>
      </c>
      <c r="H47" s="5" t="n">
        <v>215</v>
      </c>
      <c r="I47" s="16" t="n">
        <f aca="false">G47/E47-1</f>
        <v>0.0204545454545455</v>
      </c>
      <c r="J47" s="13" t="n">
        <f aca="false">D47*(1+前提!$B$18*I47)</f>
        <v>25.8404545454545</v>
      </c>
      <c r="K47" s="17" t="n">
        <f aca="false">D47*E47</f>
        <v>22880</v>
      </c>
      <c r="L47" s="17" t="n">
        <f aca="false">J47*G47</f>
        <v>23204.7281818182</v>
      </c>
      <c r="M47" s="17" t="n">
        <f aca="false">D47*H47</f>
        <v>5590</v>
      </c>
      <c r="N47" s="17" t="n">
        <f aca="false">J47*H47</f>
        <v>5555.69772727273</v>
      </c>
      <c r="O47" s="18" t="n">
        <f aca="false">(L47-N47)-(K47-M47)</f>
        <v>359.030454545453</v>
      </c>
      <c r="P47" s="4"/>
    </row>
    <row r="48" customFormat="false" ht="15" hidden="false" customHeight="false" outlineLevel="0" collapsed="false">
      <c r="A48" s="4" t="s">
        <v>132</v>
      </c>
      <c r="B48" s="4" t="s">
        <v>133</v>
      </c>
      <c r="C48" s="4" t="s">
        <v>103</v>
      </c>
      <c r="D48" s="7" t="n">
        <v>58</v>
      </c>
      <c r="E48" s="7" t="n">
        <v>530</v>
      </c>
      <c r="F48" s="7" t="n">
        <v>580</v>
      </c>
      <c r="G48" s="7" t="n">
        <v>580</v>
      </c>
      <c r="H48" s="5" t="n">
        <v>169.7</v>
      </c>
      <c r="I48" s="16" t="n">
        <f aca="false">G48/E48-1</f>
        <v>0.0943396226415094</v>
      </c>
      <c r="J48" s="13" t="n">
        <f aca="false">D48*(1+前提!$B$18*I48)</f>
        <v>56.3584905660377</v>
      </c>
      <c r="K48" s="17" t="n">
        <f aca="false">D48*E48</f>
        <v>30740</v>
      </c>
      <c r="L48" s="17" t="n">
        <f aca="false">J48*G48</f>
        <v>32687.9245283019</v>
      </c>
      <c r="M48" s="17" t="n">
        <f aca="false">D48*H48</f>
        <v>9842.6</v>
      </c>
      <c r="N48" s="17" t="n">
        <f aca="false">J48*H48</f>
        <v>9564.0358490566</v>
      </c>
      <c r="O48" s="18" t="n">
        <f aca="false">(L48-N48)-(K48-M48)</f>
        <v>2226.48867924528</v>
      </c>
      <c r="P48" s="4"/>
    </row>
    <row r="49" customFormat="false" ht="15" hidden="false" customHeight="false" outlineLevel="0" collapsed="false">
      <c r="A49" s="6" t="s">
        <v>134</v>
      </c>
      <c r="B49" s="4" t="s">
        <v>135</v>
      </c>
      <c r="C49" s="4" t="s">
        <v>103</v>
      </c>
      <c r="D49" s="7" t="n">
        <v>34</v>
      </c>
      <c r="E49" s="7" t="n">
        <v>580</v>
      </c>
      <c r="F49" s="7" t="n">
        <v>607</v>
      </c>
      <c r="G49" s="7" t="n">
        <v>607</v>
      </c>
      <c r="H49" s="5" t="n">
        <v>121.1</v>
      </c>
      <c r="I49" s="16" t="n">
        <f aca="false">G49/E49-1</f>
        <v>0.046551724137931</v>
      </c>
      <c r="J49" s="13" t="n">
        <f aca="false">D49*(1+前提!$B$18*I49)</f>
        <v>33.5251724137931</v>
      </c>
      <c r="K49" s="17" t="n">
        <f aca="false">D49*E49</f>
        <v>19720</v>
      </c>
      <c r="L49" s="17" t="n">
        <f aca="false">J49*G49</f>
        <v>20349.7796551724</v>
      </c>
      <c r="M49" s="17" t="n">
        <f aca="false">D49*H49</f>
        <v>4117.4</v>
      </c>
      <c r="N49" s="17" t="n">
        <f aca="false">J49*H49</f>
        <v>4059.89837931034</v>
      </c>
      <c r="O49" s="18" t="n">
        <f aca="false">(L49-N49)-(K49-M49)</f>
        <v>687.281275862069</v>
      </c>
      <c r="P49" s="4"/>
    </row>
    <row r="50" customFormat="false" ht="15" hidden="false" customHeight="false" outlineLevel="0" collapsed="false">
      <c r="A50" s="6" t="s">
        <v>136</v>
      </c>
      <c r="B50" s="4" t="s">
        <v>137</v>
      </c>
      <c r="C50" s="4" t="s">
        <v>103</v>
      </c>
      <c r="D50" s="7" t="n">
        <v>36</v>
      </c>
      <c r="E50" s="7" t="n">
        <v>530</v>
      </c>
      <c r="F50" s="7" t="n">
        <v>557</v>
      </c>
      <c r="G50" s="7" t="n">
        <v>557</v>
      </c>
      <c r="H50" s="5" t="n">
        <v>166.6</v>
      </c>
      <c r="I50" s="16" t="n">
        <f aca="false">G50/E50-1</f>
        <v>0.0509433962264152</v>
      </c>
      <c r="J50" s="13" t="n">
        <f aca="false">D50*(1+前提!$B$18*I50)</f>
        <v>35.4498113207547</v>
      </c>
      <c r="K50" s="17" t="n">
        <f aca="false">D50*E50</f>
        <v>19080</v>
      </c>
      <c r="L50" s="17" t="n">
        <f aca="false">J50*G50</f>
        <v>19745.5449056604</v>
      </c>
      <c r="M50" s="17" t="n">
        <f aca="false">D50*H50</f>
        <v>5997.6</v>
      </c>
      <c r="N50" s="17" t="n">
        <f aca="false">J50*H50</f>
        <v>5905.93856603774</v>
      </c>
      <c r="O50" s="18" t="n">
        <f aca="false">(L50-N50)-(K50-M50)</f>
        <v>757.20633962264</v>
      </c>
      <c r="P50" s="4"/>
    </row>
    <row r="51" customFormat="false" ht="15" hidden="false" customHeight="false" outlineLevel="0" collapsed="false">
      <c r="A51" s="6" t="s">
        <v>138</v>
      </c>
      <c r="B51" s="4" t="s">
        <v>139</v>
      </c>
      <c r="C51" s="4" t="s">
        <v>103</v>
      </c>
      <c r="D51" s="7" t="n">
        <v>35</v>
      </c>
      <c r="E51" s="7" t="n">
        <v>530</v>
      </c>
      <c r="F51" s="7" t="n">
        <v>557</v>
      </c>
      <c r="G51" s="7" t="n">
        <v>557</v>
      </c>
      <c r="H51" s="5" t="n">
        <v>166.6</v>
      </c>
      <c r="I51" s="16" t="n">
        <f aca="false">G51/E51-1</f>
        <v>0.0509433962264152</v>
      </c>
      <c r="J51" s="13" t="n">
        <f aca="false">D51*(1+前提!$B$18*I51)</f>
        <v>34.4650943396226</v>
      </c>
      <c r="K51" s="17" t="n">
        <f aca="false">D51*E51</f>
        <v>18550</v>
      </c>
      <c r="L51" s="17" t="n">
        <f aca="false">J51*G51</f>
        <v>19197.0575471698</v>
      </c>
      <c r="M51" s="17" t="n">
        <f aca="false">D51*H51</f>
        <v>5831</v>
      </c>
      <c r="N51" s="17" t="n">
        <f aca="false">J51*H51</f>
        <v>5741.88471698113</v>
      </c>
      <c r="O51" s="18" t="n">
        <f aca="false">(L51-N51)-(K51-M51)</f>
        <v>736.17283018868</v>
      </c>
      <c r="P51" s="4"/>
    </row>
    <row r="52" customFormat="false" ht="15" hidden="false" customHeight="false" outlineLevel="0" collapsed="false">
      <c r="A52" s="6" t="s">
        <v>140</v>
      </c>
      <c r="B52" s="4" t="s">
        <v>141</v>
      </c>
      <c r="C52" s="4" t="s">
        <v>103</v>
      </c>
      <c r="D52" s="7" t="n">
        <v>30</v>
      </c>
      <c r="E52" s="7" t="n">
        <v>580</v>
      </c>
      <c r="F52" s="7" t="n">
        <v>607</v>
      </c>
      <c r="G52" s="7" t="n">
        <v>607</v>
      </c>
      <c r="H52" s="5" t="n">
        <v>139.1</v>
      </c>
      <c r="I52" s="16" t="n">
        <f aca="false">G52/E52-1</f>
        <v>0.046551724137931</v>
      </c>
      <c r="J52" s="13" t="n">
        <f aca="false">D52*(1+前提!$B$18*I52)</f>
        <v>29.5810344827586</v>
      </c>
      <c r="K52" s="17" t="n">
        <f aca="false">D52*E52</f>
        <v>17400</v>
      </c>
      <c r="L52" s="17" t="n">
        <f aca="false">J52*G52</f>
        <v>17955.6879310345</v>
      </c>
      <c r="M52" s="17" t="n">
        <f aca="false">D52*H52</f>
        <v>4173</v>
      </c>
      <c r="N52" s="17" t="n">
        <f aca="false">J52*H52</f>
        <v>4114.72189655172</v>
      </c>
      <c r="O52" s="18" t="n">
        <f aca="false">(L52-N52)-(K52-M52)</f>
        <v>613.966034482761</v>
      </c>
      <c r="P52" s="4"/>
    </row>
    <row r="53" customFormat="false" ht="15" hidden="false" customHeight="false" outlineLevel="0" collapsed="false">
      <c r="A53" s="6" t="s">
        <v>142</v>
      </c>
      <c r="B53" s="4" t="s">
        <v>143</v>
      </c>
      <c r="C53" s="4" t="s">
        <v>103</v>
      </c>
      <c r="D53" s="7" t="n">
        <v>26</v>
      </c>
      <c r="E53" s="7" t="n">
        <v>580</v>
      </c>
      <c r="F53" s="7" t="n">
        <v>607</v>
      </c>
      <c r="G53" s="7" t="n">
        <v>607</v>
      </c>
      <c r="H53" s="5" t="n">
        <v>243.6</v>
      </c>
      <c r="I53" s="16" t="n">
        <f aca="false">G53/E53-1</f>
        <v>0.046551724137931</v>
      </c>
      <c r="J53" s="13" t="n">
        <f aca="false">D53*(1+前提!$B$18*I53)</f>
        <v>25.6368965517241</v>
      </c>
      <c r="K53" s="17" t="n">
        <f aca="false">D53*E53</f>
        <v>15080</v>
      </c>
      <c r="L53" s="17" t="n">
        <f aca="false">J53*G53</f>
        <v>15561.5962068966</v>
      </c>
      <c r="M53" s="17" t="n">
        <f aca="false">D53*H53</f>
        <v>6333.6</v>
      </c>
      <c r="N53" s="17" t="n">
        <f aca="false">J53*H53</f>
        <v>6245.148</v>
      </c>
      <c r="O53" s="18" t="n">
        <f aca="false">(L53-N53)-(K53-M53)</f>
        <v>570.04820689655</v>
      </c>
      <c r="P53" s="4"/>
    </row>
    <row r="54" customFormat="false" ht="15" hidden="false" customHeight="false" outlineLevel="0" collapsed="false">
      <c r="A54" s="6" t="s">
        <v>144</v>
      </c>
      <c r="B54" s="4" t="s">
        <v>145</v>
      </c>
      <c r="C54" s="4" t="s">
        <v>103</v>
      </c>
      <c r="D54" s="7" t="n">
        <v>58</v>
      </c>
      <c r="E54" s="7" t="n">
        <v>280</v>
      </c>
      <c r="F54" s="7" t="n">
        <v>280</v>
      </c>
      <c r="G54" s="7" t="n">
        <v>280</v>
      </c>
      <c r="H54" s="5" t="n">
        <v>86.7</v>
      </c>
      <c r="I54" s="16" t="n">
        <f aca="false">G54/E54-1</f>
        <v>0</v>
      </c>
      <c r="J54" s="13" t="n">
        <f aca="false">D54*(1+前提!$B$18*I54)</f>
        <v>58</v>
      </c>
      <c r="K54" s="17" t="n">
        <f aca="false">D54*E54</f>
        <v>16240</v>
      </c>
      <c r="L54" s="17" t="n">
        <f aca="false">J54*G54</f>
        <v>16240</v>
      </c>
      <c r="M54" s="17" t="n">
        <f aca="false">D54*H54</f>
        <v>5028.6</v>
      </c>
      <c r="N54" s="17" t="n">
        <f aca="false">J54*H54</f>
        <v>5028.6</v>
      </c>
      <c r="O54" s="18" t="n">
        <f aca="false">(L54-N54)-(K54-M54)</f>
        <v>0</v>
      </c>
      <c r="P54" s="4"/>
    </row>
    <row r="55" customFormat="false" ht="15" hidden="false" customHeight="false" outlineLevel="0" collapsed="false">
      <c r="A55" s="6" t="s">
        <v>146</v>
      </c>
      <c r="B55" s="4" t="s">
        <v>147</v>
      </c>
      <c r="C55" s="4" t="s">
        <v>103</v>
      </c>
      <c r="D55" s="7" t="n">
        <v>25</v>
      </c>
      <c r="E55" s="7" t="n">
        <v>580</v>
      </c>
      <c r="F55" s="7" t="n">
        <v>607</v>
      </c>
      <c r="G55" s="7" t="n">
        <v>607</v>
      </c>
      <c r="H55" s="5" t="n">
        <v>116.2</v>
      </c>
      <c r="I55" s="16" t="n">
        <f aca="false">G55/E55-1</f>
        <v>0.046551724137931</v>
      </c>
      <c r="J55" s="13" t="n">
        <f aca="false">D55*(1+前提!$B$18*I55)</f>
        <v>24.6508620689655</v>
      </c>
      <c r="K55" s="17" t="n">
        <f aca="false">D55*E55</f>
        <v>14500</v>
      </c>
      <c r="L55" s="17" t="n">
        <f aca="false">J55*G55</f>
        <v>14963.0732758621</v>
      </c>
      <c r="M55" s="17" t="n">
        <f aca="false">D55*H55</f>
        <v>2905</v>
      </c>
      <c r="N55" s="17" t="n">
        <f aca="false">J55*H55</f>
        <v>2864.43017241379</v>
      </c>
      <c r="O55" s="18" t="n">
        <f aca="false">(L55-N55)-(K55-M55)</f>
        <v>503.643103448276</v>
      </c>
      <c r="P55" s="4"/>
    </row>
    <row r="56" customFormat="false" ht="15" hidden="false" customHeight="false" outlineLevel="0" collapsed="false">
      <c r="A56" s="4" t="s">
        <v>148</v>
      </c>
      <c r="B56" s="4" t="s">
        <v>149</v>
      </c>
      <c r="C56" s="4" t="s">
        <v>103</v>
      </c>
      <c r="D56" s="7" t="n">
        <v>21</v>
      </c>
      <c r="E56" s="7" t="n">
        <v>680</v>
      </c>
      <c r="F56" s="7" t="n">
        <v>707</v>
      </c>
      <c r="G56" s="7" t="n">
        <v>707</v>
      </c>
      <c r="H56" s="5" t="n">
        <v>270</v>
      </c>
      <c r="I56" s="16" t="n">
        <f aca="false">G56/E56-1</f>
        <v>0.0397058823529413</v>
      </c>
      <c r="J56" s="13" t="n">
        <f aca="false">D56*(1+前提!$B$18*I56)</f>
        <v>20.7498529411765</v>
      </c>
      <c r="K56" s="17" t="n">
        <f aca="false">D56*E56</f>
        <v>14280</v>
      </c>
      <c r="L56" s="17" t="n">
        <f aca="false">J56*G56</f>
        <v>14670.1460294118</v>
      </c>
      <c r="M56" s="17" t="n">
        <f aca="false">D56*H56</f>
        <v>5670</v>
      </c>
      <c r="N56" s="17" t="n">
        <f aca="false">J56*H56</f>
        <v>5602.46029411765</v>
      </c>
      <c r="O56" s="18" t="n">
        <f aca="false">(L56-N56)-(K56-M56)</f>
        <v>457.685735294117</v>
      </c>
      <c r="P56" s="4"/>
    </row>
    <row r="57" customFormat="false" ht="15" hidden="false" customHeight="false" outlineLevel="0" collapsed="false">
      <c r="A57" s="6" t="s">
        <v>150</v>
      </c>
      <c r="B57" s="4" t="s">
        <v>151</v>
      </c>
      <c r="C57" s="4" t="s">
        <v>103</v>
      </c>
      <c r="D57" s="7" t="n">
        <v>17</v>
      </c>
      <c r="E57" s="7" t="n">
        <v>680</v>
      </c>
      <c r="F57" s="7" t="n">
        <v>698</v>
      </c>
      <c r="G57" s="7" t="n">
        <v>698</v>
      </c>
      <c r="H57" s="5" t="n">
        <v>226.2</v>
      </c>
      <c r="I57" s="16" t="n">
        <f aca="false">G57/E57-1</f>
        <v>0.026470588235294</v>
      </c>
      <c r="J57" s="13" t="n">
        <f aca="false">D57*(1+前提!$B$18*I57)</f>
        <v>16.865</v>
      </c>
      <c r="K57" s="17" t="n">
        <f aca="false">D57*E57</f>
        <v>11560</v>
      </c>
      <c r="L57" s="17" t="n">
        <f aca="false">J57*G57</f>
        <v>11771.77</v>
      </c>
      <c r="M57" s="17" t="n">
        <f aca="false">D57*H57</f>
        <v>3845.4</v>
      </c>
      <c r="N57" s="17" t="n">
        <f aca="false">J57*H57</f>
        <v>3814.863</v>
      </c>
      <c r="O57" s="18" t="n">
        <f aca="false">(L57-N57)-(K57-M57)</f>
        <v>242.306999999999</v>
      </c>
      <c r="P57" s="4"/>
    </row>
    <row r="58" customFormat="false" ht="15" hidden="false" customHeight="false" outlineLevel="0" collapsed="false">
      <c r="A58" s="6" t="s">
        <v>152</v>
      </c>
      <c r="B58" s="4" t="s">
        <v>153</v>
      </c>
      <c r="C58" s="4" t="s">
        <v>103</v>
      </c>
      <c r="D58" s="7" t="n">
        <v>6</v>
      </c>
      <c r="E58" s="7" t="n">
        <v>1780</v>
      </c>
      <c r="F58" s="7" t="n">
        <v>1816</v>
      </c>
      <c r="G58" s="7" t="n">
        <v>1816</v>
      </c>
      <c r="H58" s="5" t="n">
        <v>680</v>
      </c>
      <c r="I58" s="16" t="n">
        <f aca="false">G58/E58-1</f>
        <v>0.0202247191011236</v>
      </c>
      <c r="J58" s="13" t="n">
        <f aca="false">D58*(1+前提!$B$18*I58)</f>
        <v>5.96359550561798</v>
      </c>
      <c r="K58" s="17" t="n">
        <f aca="false">D58*E58</f>
        <v>10680</v>
      </c>
      <c r="L58" s="17" t="n">
        <f aca="false">J58*G58</f>
        <v>10829.8894382022</v>
      </c>
      <c r="M58" s="17" t="n">
        <f aca="false">D58*H58</f>
        <v>4080</v>
      </c>
      <c r="N58" s="17" t="n">
        <f aca="false">J58*H58</f>
        <v>4055.24494382022</v>
      </c>
      <c r="O58" s="18" t="n">
        <f aca="false">(L58-N58)-(K58-M58)</f>
        <v>174.644494382022</v>
      </c>
      <c r="P58" s="4"/>
    </row>
    <row r="59" customFormat="false" ht="15" hidden="false" customHeight="false" outlineLevel="0" collapsed="false">
      <c r="A59" s="6" t="s">
        <v>154</v>
      </c>
      <c r="B59" s="4" t="s">
        <v>155</v>
      </c>
      <c r="C59" s="4" t="s">
        <v>103</v>
      </c>
      <c r="D59" s="7" t="n">
        <v>18</v>
      </c>
      <c r="E59" s="7" t="n">
        <v>580</v>
      </c>
      <c r="F59" s="7" t="n">
        <v>607</v>
      </c>
      <c r="G59" s="7" t="n">
        <v>607</v>
      </c>
      <c r="H59" s="5" t="n">
        <v>89.3</v>
      </c>
      <c r="I59" s="16" t="n">
        <f aca="false">G59/E59-1</f>
        <v>0.046551724137931</v>
      </c>
      <c r="J59" s="13" t="n">
        <f aca="false">D59*(1+前提!$B$18*I59)</f>
        <v>17.7486206896552</v>
      </c>
      <c r="K59" s="17" t="n">
        <f aca="false">D59*E59</f>
        <v>10440</v>
      </c>
      <c r="L59" s="17" t="n">
        <f aca="false">J59*G59</f>
        <v>10773.4127586207</v>
      </c>
      <c r="M59" s="17" t="n">
        <f aca="false">D59*H59</f>
        <v>1607.4</v>
      </c>
      <c r="N59" s="17" t="n">
        <f aca="false">J59*H59</f>
        <v>1584.95182758621</v>
      </c>
      <c r="O59" s="18" t="n">
        <f aca="false">(L59-N59)-(K59-M59)</f>
        <v>355.860931034484</v>
      </c>
      <c r="P59" s="4"/>
    </row>
    <row r="60" customFormat="false" ht="15" hidden="false" customHeight="false" outlineLevel="0" collapsed="false">
      <c r="A60" s="6" t="s">
        <v>156</v>
      </c>
      <c r="B60" s="4" t="s">
        <v>157</v>
      </c>
      <c r="C60" s="4" t="s">
        <v>103</v>
      </c>
      <c r="D60" s="7" t="n">
        <v>15</v>
      </c>
      <c r="E60" s="7" t="n">
        <v>680</v>
      </c>
      <c r="F60" s="7" t="n">
        <v>698</v>
      </c>
      <c r="G60" s="7" t="n">
        <v>698</v>
      </c>
      <c r="H60" s="5" t="n">
        <v>172</v>
      </c>
      <c r="I60" s="16" t="n">
        <f aca="false">G60/E60-1</f>
        <v>0.026470588235294</v>
      </c>
      <c r="J60" s="13" t="n">
        <f aca="false">D60*(1+前提!$B$18*I60)</f>
        <v>14.8808823529412</v>
      </c>
      <c r="K60" s="17" t="n">
        <f aca="false">D60*E60</f>
        <v>10200</v>
      </c>
      <c r="L60" s="17" t="n">
        <f aca="false">J60*G60</f>
        <v>10386.8558823529</v>
      </c>
      <c r="M60" s="17" t="n">
        <f aca="false">D60*H60</f>
        <v>2580</v>
      </c>
      <c r="N60" s="17" t="n">
        <f aca="false">J60*H60</f>
        <v>2559.51176470588</v>
      </c>
      <c r="O60" s="18" t="n">
        <f aca="false">(L60-N60)-(K60-M60)</f>
        <v>207.34411764706</v>
      </c>
      <c r="P60" s="4"/>
    </row>
    <row r="61" customFormat="false" ht="15" hidden="false" customHeight="false" outlineLevel="0" collapsed="false">
      <c r="A61" s="4" t="s">
        <v>158</v>
      </c>
      <c r="B61" s="4" t="s">
        <v>159</v>
      </c>
      <c r="C61" s="4" t="s">
        <v>103</v>
      </c>
      <c r="D61" s="7" t="n">
        <v>23</v>
      </c>
      <c r="E61" s="7" t="n">
        <v>530</v>
      </c>
      <c r="F61" s="7" t="n">
        <v>557</v>
      </c>
      <c r="G61" s="7" t="n">
        <v>557</v>
      </c>
      <c r="H61" s="5" t="n">
        <v>64.3</v>
      </c>
      <c r="I61" s="16" t="n">
        <f aca="false">G61/E61-1</f>
        <v>0.0509433962264152</v>
      </c>
      <c r="J61" s="13" t="n">
        <f aca="false">D61*(1+前提!$B$18*I61)</f>
        <v>22.6484905660377</v>
      </c>
      <c r="K61" s="17" t="n">
        <f aca="false">D61*E61</f>
        <v>12190</v>
      </c>
      <c r="L61" s="17" t="n">
        <f aca="false">J61*G61</f>
        <v>12615.209245283</v>
      </c>
      <c r="M61" s="17" t="n">
        <f aca="false">D61*H61</f>
        <v>1478.9</v>
      </c>
      <c r="N61" s="17" t="n">
        <f aca="false">J61*H61</f>
        <v>1456.29794339623</v>
      </c>
      <c r="O61" s="18" t="n">
        <f aca="false">(L61-N61)-(K61-M61)</f>
        <v>447.81130188679</v>
      </c>
      <c r="P61" s="4"/>
    </row>
    <row r="62" customFormat="false" ht="15" hidden="false" customHeight="false" outlineLevel="0" collapsed="false">
      <c r="A62" s="6" t="s">
        <v>160</v>
      </c>
      <c r="B62" s="4" t="s">
        <v>161</v>
      </c>
      <c r="C62" s="4" t="s">
        <v>103</v>
      </c>
      <c r="D62" s="7" t="n">
        <v>7</v>
      </c>
      <c r="E62" s="7" t="n">
        <v>1180</v>
      </c>
      <c r="F62" s="7" t="n">
        <v>1207</v>
      </c>
      <c r="G62" s="7" t="n">
        <v>1207</v>
      </c>
      <c r="H62" s="5" t="n">
        <v>420</v>
      </c>
      <c r="I62" s="16" t="n">
        <f aca="false">G62/E62-1</f>
        <v>0.0228813559322034</v>
      </c>
      <c r="J62" s="13" t="n">
        <f aca="false">D62*(1+前提!$B$18*I62)</f>
        <v>6.95194915254237</v>
      </c>
      <c r="K62" s="17" t="n">
        <f aca="false">D62*E62</f>
        <v>8260</v>
      </c>
      <c r="L62" s="17" t="n">
        <f aca="false">J62*G62</f>
        <v>8391.00262711864</v>
      </c>
      <c r="M62" s="17" t="n">
        <f aca="false">D62*H62</f>
        <v>2940</v>
      </c>
      <c r="N62" s="17" t="n">
        <f aca="false">J62*H62</f>
        <v>2919.8186440678</v>
      </c>
      <c r="O62" s="18" t="n">
        <f aca="false">(L62-N62)-(K62-M62)</f>
        <v>151.183983050847</v>
      </c>
      <c r="P62" s="4"/>
    </row>
    <row r="63" customFormat="false" ht="15" hidden="false" customHeight="false" outlineLevel="0" collapsed="false">
      <c r="A63" s="6" t="s">
        <v>162</v>
      </c>
      <c r="B63" s="4" t="s">
        <v>163</v>
      </c>
      <c r="C63" s="4" t="s">
        <v>103</v>
      </c>
      <c r="D63" s="7" t="n">
        <v>13</v>
      </c>
      <c r="E63" s="7" t="n">
        <v>580</v>
      </c>
      <c r="F63" s="7" t="n">
        <v>607</v>
      </c>
      <c r="G63" s="7" t="n">
        <v>607</v>
      </c>
      <c r="H63" s="5" t="n">
        <v>80.4</v>
      </c>
      <c r="I63" s="16" t="n">
        <f aca="false">G63/E63-1</f>
        <v>0.046551724137931</v>
      </c>
      <c r="J63" s="13" t="n">
        <f aca="false">D63*(1+前提!$B$18*I63)</f>
        <v>12.8184482758621</v>
      </c>
      <c r="K63" s="17" t="n">
        <f aca="false">D63*E63</f>
        <v>7540</v>
      </c>
      <c r="L63" s="17" t="n">
        <f aca="false">J63*G63</f>
        <v>7780.79810344828</v>
      </c>
      <c r="M63" s="17" t="n">
        <f aca="false">D63*H63</f>
        <v>1045.2</v>
      </c>
      <c r="N63" s="17" t="n">
        <f aca="false">J63*H63</f>
        <v>1030.60324137931</v>
      </c>
      <c r="O63" s="18" t="n">
        <f aca="false">(L63-N63)-(K63-M63)</f>
        <v>255.394862068965</v>
      </c>
      <c r="P63" s="4"/>
    </row>
    <row r="64" customFormat="false" ht="15" hidden="false" customHeight="false" outlineLevel="0" collapsed="false">
      <c r="A64" s="4" t="s">
        <v>164</v>
      </c>
      <c r="B64" s="4" t="s">
        <v>165</v>
      </c>
      <c r="C64" s="4" t="s">
        <v>103</v>
      </c>
      <c r="D64" s="7" t="n">
        <v>17</v>
      </c>
      <c r="E64" s="7" t="n">
        <v>580</v>
      </c>
      <c r="F64" s="7" t="n">
        <v>607</v>
      </c>
      <c r="G64" s="7" t="n">
        <v>607</v>
      </c>
      <c r="H64" s="5" t="n">
        <v>78.8</v>
      </c>
      <c r="I64" s="16" t="n">
        <f aca="false">G64/E64-1</f>
        <v>0.046551724137931</v>
      </c>
      <c r="J64" s="13" t="n">
        <f aca="false">D64*(1+前提!$B$18*I64)</f>
        <v>16.7625862068966</v>
      </c>
      <c r="K64" s="17" t="n">
        <f aca="false">D64*E64</f>
        <v>9860</v>
      </c>
      <c r="L64" s="17" t="n">
        <f aca="false">J64*G64</f>
        <v>10174.8898275862</v>
      </c>
      <c r="M64" s="17" t="n">
        <f aca="false">D64*H64</f>
        <v>1339.6</v>
      </c>
      <c r="N64" s="17" t="n">
        <f aca="false">J64*H64</f>
        <v>1320.89179310345</v>
      </c>
      <c r="O64" s="18" t="n">
        <f aca="false">(L64-N64)-(K64-M64)</f>
        <v>333.598034482759</v>
      </c>
      <c r="P64" s="4"/>
    </row>
    <row r="65" customFormat="false" ht="15" hidden="false" customHeight="false" outlineLevel="0" collapsed="false">
      <c r="A65" s="6" t="s">
        <v>166</v>
      </c>
      <c r="B65" s="4" t="s">
        <v>167</v>
      </c>
      <c r="C65" s="4" t="s">
        <v>103</v>
      </c>
      <c r="D65" s="7" t="n">
        <v>4</v>
      </c>
      <c r="E65" s="7" t="n">
        <v>1780</v>
      </c>
      <c r="F65" s="7" t="n">
        <v>1816</v>
      </c>
      <c r="G65" s="7" t="n">
        <v>1816</v>
      </c>
      <c r="H65" s="5" t="n">
        <v>680</v>
      </c>
      <c r="I65" s="16" t="n">
        <f aca="false">G65/E65-1</f>
        <v>0.0202247191011236</v>
      </c>
      <c r="J65" s="13" t="n">
        <f aca="false">D65*(1+前提!$B$18*I65)</f>
        <v>3.97573033707865</v>
      </c>
      <c r="K65" s="17" t="n">
        <f aca="false">D65*E65</f>
        <v>7120</v>
      </c>
      <c r="L65" s="17" t="n">
        <f aca="false">J65*G65</f>
        <v>7219.92629213483</v>
      </c>
      <c r="M65" s="17" t="n">
        <f aca="false">D65*H65</f>
        <v>2720</v>
      </c>
      <c r="N65" s="17" t="n">
        <f aca="false">J65*H65</f>
        <v>2703.49662921348</v>
      </c>
      <c r="O65" s="18" t="n">
        <f aca="false">(L65-N65)-(K65-M65)</f>
        <v>116.429662921349</v>
      </c>
      <c r="P65" s="4"/>
    </row>
    <row r="66" customFormat="false" ht="15" hidden="false" customHeight="false" outlineLevel="0" collapsed="false">
      <c r="A66" s="6" t="s">
        <v>168</v>
      </c>
      <c r="B66" s="4" t="s">
        <v>169</v>
      </c>
      <c r="C66" s="4" t="s">
        <v>103</v>
      </c>
      <c r="D66" s="7" t="n">
        <v>11</v>
      </c>
      <c r="E66" s="7" t="n">
        <v>580</v>
      </c>
      <c r="F66" s="7" t="n">
        <v>607</v>
      </c>
      <c r="G66" s="7" t="n">
        <v>607</v>
      </c>
      <c r="H66" s="5" t="n">
        <v>55.3</v>
      </c>
      <c r="I66" s="16" t="n">
        <f aca="false">G66/E66-1</f>
        <v>0.046551724137931</v>
      </c>
      <c r="J66" s="13" t="n">
        <f aca="false">D66*(1+前提!$B$18*I66)</f>
        <v>10.8463793103448</v>
      </c>
      <c r="K66" s="17" t="n">
        <f aca="false">D66*E66</f>
        <v>6380</v>
      </c>
      <c r="L66" s="17" t="n">
        <f aca="false">J66*G66</f>
        <v>6583.75224137931</v>
      </c>
      <c r="M66" s="17" t="n">
        <f aca="false">D66*H66</f>
        <v>608.3</v>
      </c>
      <c r="N66" s="17" t="n">
        <f aca="false">J66*H66</f>
        <v>599.804775862069</v>
      </c>
      <c r="O66" s="18" t="n">
        <f aca="false">(L66-N66)-(K66-M66)</f>
        <v>212.247465517242</v>
      </c>
      <c r="P66" s="4"/>
    </row>
    <row r="67" customFormat="false" ht="15" hidden="false" customHeight="false" outlineLevel="0" collapsed="false">
      <c r="A67" s="4" t="s">
        <v>170</v>
      </c>
      <c r="B67" s="4" t="s">
        <v>171</v>
      </c>
      <c r="C67" s="4" t="s">
        <v>103</v>
      </c>
      <c r="D67" s="7" t="n">
        <v>12</v>
      </c>
      <c r="E67" s="7" t="n">
        <v>580</v>
      </c>
      <c r="F67" s="7" t="n">
        <v>607</v>
      </c>
      <c r="G67" s="7" t="n">
        <v>607</v>
      </c>
      <c r="H67" s="5" t="n">
        <v>49.5796433296433</v>
      </c>
      <c r="I67" s="16" t="n">
        <f aca="false">G67/E67-1</f>
        <v>0.046551724137931</v>
      </c>
      <c r="J67" s="13" t="n">
        <f aca="false">D67*(1+前提!$B$18*I67)</f>
        <v>11.8324137931034</v>
      </c>
      <c r="K67" s="17" t="n">
        <f aca="false">D67*E67</f>
        <v>6960</v>
      </c>
      <c r="L67" s="17" t="n">
        <f aca="false">J67*G67</f>
        <v>7182.27517241379</v>
      </c>
      <c r="M67" s="17" t="n">
        <f aca="false">D67*H67</f>
        <v>594.95571995572</v>
      </c>
      <c r="N67" s="17" t="n">
        <f aca="false">J67*H67</f>
        <v>586.646855590821</v>
      </c>
      <c r="O67" s="18" t="n">
        <f aca="false">(L67-N67)-(K67-M67)</f>
        <v>230.584036778692</v>
      </c>
      <c r="P67" s="4"/>
    </row>
    <row r="68" customFormat="false" ht="15" hidden="false" customHeight="false" outlineLevel="0" collapsed="false">
      <c r="A68" s="4" t="s">
        <v>172</v>
      </c>
      <c r="B68" s="4" t="s">
        <v>173</v>
      </c>
      <c r="C68" s="4" t="s">
        <v>103</v>
      </c>
      <c r="D68" s="7" t="n">
        <v>10</v>
      </c>
      <c r="E68" s="7" t="n">
        <v>580</v>
      </c>
      <c r="F68" s="7" t="n">
        <v>607</v>
      </c>
      <c r="G68" s="7" t="n">
        <v>607</v>
      </c>
      <c r="H68" s="5" t="n">
        <v>66.4</v>
      </c>
      <c r="I68" s="16" t="n">
        <f aca="false">G68/E68-1</f>
        <v>0.046551724137931</v>
      </c>
      <c r="J68" s="13" t="n">
        <f aca="false">D68*(1+前提!$B$18*I68)</f>
        <v>9.86034482758621</v>
      </c>
      <c r="K68" s="17" t="n">
        <f aca="false">D68*E68</f>
        <v>5800</v>
      </c>
      <c r="L68" s="17" t="n">
        <f aca="false">J68*G68</f>
        <v>5985.22931034483</v>
      </c>
      <c r="M68" s="17" t="n">
        <f aca="false">D68*H68</f>
        <v>664</v>
      </c>
      <c r="N68" s="17" t="n">
        <f aca="false">J68*H68</f>
        <v>654.726896551724</v>
      </c>
      <c r="O68" s="18" t="n">
        <f aca="false">(L68-N68)-(K68-M68)</f>
        <v>194.502413793103</v>
      </c>
      <c r="P68" s="4"/>
    </row>
    <row r="69" customFormat="false" ht="15" hidden="false" customHeight="false" outlineLevel="0" collapsed="false">
      <c r="A69" s="6" t="s">
        <v>174</v>
      </c>
      <c r="B69" s="4" t="s">
        <v>175</v>
      </c>
      <c r="C69" s="4" t="s">
        <v>103</v>
      </c>
      <c r="D69" s="7" t="n">
        <v>7</v>
      </c>
      <c r="E69" s="7" t="n">
        <v>580</v>
      </c>
      <c r="F69" s="7" t="n">
        <v>607</v>
      </c>
      <c r="G69" s="7" t="n">
        <v>607</v>
      </c>
      <c r="H69" s="5" t="n">
        <v>91</v>
      </c>
      <c r="I69" s="16" t="n">
        <f aca="false">G69/E69-1</f>
        <v>0.046551724137931</v>
      </c>
      <c r="J69" s="13" t="n">
        <f aca="false">D69*(1+前提!$B$18*I69)</f>
        <v>6.90224137931035</v>
      </c>
      <c r="K69" s="17" t="n">
        <f aca="false">D69*E69</f>
        <v>4060</v>
      </c>
      <c r="L69" s="17" t="n">
        <f aca="false">J69*G69</f>
        <v>4189.66051724138</v>
      </c>
      <c r="M69" s="17" t="n">
        <f aca="false">D69*H69</f>
        <v>637</v>
      </c>
      <c r="N69" s="17" t="n">
        <f aca="false">J69*H69</f>
        <v>628.103965517241</v>
      </c>
      <c r="O69" s="18" t="n">
        <f aca="false">(L69-N69)-(K69-M69)</f>
        <v>138.556551724138</v>
      </c>
      <c r="P69" s="4"/>
    </row>
    <row r="70" customFormat="false" ht="15" hidden="false" customHeight="false" outlineLevel="0" collapsed="false">
      <c r="A70" s="6" t="s">
        <v>176</v>
      </c>
      <c r="B70" s="4" t="s">
        <v>177</v>
      </c>
      <c r="C70" s="4" t="s">
        <v>103</v>
      </c>
      <c r="D70" s="7" t="n">
        <v>3</v>
      </c>
      <c r="E70" s="7" t="n">
        <v>680</v>
      </c>
      <c r="F70" s="7" t="n">
        <v>698</v>
      </c>
      <c r="G70" s="7" t="n">
        <v>698</v>
      </c>
      <c r="H70" s="5" t="n">
        <v>124.1</v>
      </c>
      <c r="I70" s="16" t="n">
        <f aca="false">G70/E70-1</f>
        <v>0.026470588235294</v>
      </c>
      <c r="J70" s="13" t="n">
        <f aca="false">D70*(1+前提!$B$18*I70)</f>
        <v>2.97617647058824</v>
      </c>
      <c r="K70" s="17" t="n">
        <f aca="false">D70*E70</f>
        <v>2040</v>
      </c>
      <c r="L70" s="17" t="n">
        <f aca="false">J70*G70</f>
        <v>2077.37117647059</v>
      </c>
      <c r="M70" s="17" t="n">
        <f aca="false">D70*H70</f>
        <v>372.3</v>
      </c>
      <c r="N70" s="17" t="n">
        <f aca="false">J70*H70</f>
        <v>369.3435</v>
      </c>
      <c r="O70" s="18" t="n">
        <f aca="false">(L70-N70)-(K70-M70)</f>
        <v>40.3276764705881</v>
      </c>
      <c r="P70" s="4"/>
    </row>
    <row r="71" customFormat="false" ht="15" hidden="false" customHeight="false" outlineLevel="0" collapsed="false">
      <c r="A71" s="4" t="s">
        <v>178</v>
      </c>
      <c r="B71" s="4" t="s">
        <v>179</v>
      </c>
      <c r="C71" s="4" t="s">
        <v>103</v>
      </c>
      <c r="D71" s="7" t="n">
        <v>4</v>
      </c>
      <c r="E71" s="7" t="n">
        <v>580</v>
      </c>
      <c r="F71" s="7" t="n">
        <v>607</v>
      </c>
      <c r="G71" s="7" t="n">
        <v>607</v>
      </c>
      <c r="H71" s="5" t="n">
        <v>49.5796433296433</v>
      </c>
      <c r="I71" s="16" t="n">
        <f aca="false">G71/E71-1</f>
        <v>0.046551724137931</v>
      </c>
      <c r="J71" s="13" t="n">
        <f aca="false">D71*(1+前提!$B$18*I71)</f>
        <v>3.94413793103448</v>
      </c>
      <c r="K71" s="17" t="n">
        <f aca="false">D71*E71</f>
        <v>2320</v>
      </c>
      <c r="L71" s="17" t="n">
        <f aca="false">J71*G71</f>
        <v>2394.09172413793</v>
      </c>
      <c r="M71" s="17" t="n">
        <f aca="false">D71*H71</f>
        <v>198.318573318573</v>
      </c>
      <c r="N71" s="17" t="n">
        <f aca="false">J71*H71</f>
        <v>195.548951863607</v>
      </c>
      <c r="O71" s="18" t="n">
        <f aca="false">(L71-N71)-(K71-M71)</f>
        <v>76.8613455928976</v>
      </c>
      <c r="P71" s="4"/>
    </row>
    <row r="72" customFormat="false" ht="15" hidden="false" customHeight="false" outlineLevel="0" collapsed="false">
      <c r="A72" s="6" t="s">
        <v>180</v>
      </c>
      <c r="B72" s="4" t="s">
        <v>181</v>
      </c>
      <c r="C72" s="4" t="s">
        <v>182</v>
      </c>
      <c r="D72" s="7" t="n">
        <v>2134</v>
      </c>
      <c r="E72" s="7" t="n">
        <v>430</v>
      </c>
      <c r="F72" s="7" t="n">
        <v>430</v>
      </c>
      <c r="G72" s="7" t="n">
        <v>448</v>
      </c>
      <c r="H72" s="5" t="n">
        <v>94.0248902748903</v>
      </c>
      <c r="I72" s="16" t="n">
        <f aca="false">G72/E72-1</f>
        <v>0.0418604651162791</v>
      </c>
      <c r="J72" s="13" t="n">
        <f aca="false">D72*(1+前提!$B$18*I72)</f>
        <v>2107.20093023256</v>
      </c>
      <c r="K72" s="17" t="n">
        <f aca="false">D72*E72</f>
        <v>917620</v>
      </c>
      <c r="L72" s="17" t="n">
        <f aca="false">J72*G72</f>
        <v>944026.016744186</v>
      </c>
      <c r="M72" s="17" t="n">
        <f aca="false">D72*H72</f>
        <v>200649.115846616</v>
      </c>
      <c r="N72" s="17" t="n">
        <f aca="false">J72*H72</f>
        <v>198129.336252263</v>
      </c>
      <c r="O72" s="18" t="n">
        <f aca="false">(L72-N72)-(K72-M72)</f>
        <v>28925.7963385389</v>
      </c>
      <c r="P72" s="6" t="s">
        <v>60</v>
      </c>
    </row>
    <row r="73" customFormat="false" ht="15" hidden="false" customHeight="false" outlineLevel="0" collapsed="false">
      <c r="A73" s="6" t="s">
        <v>183</v>
      </c>
      <c r="B73" s="4" t="s">
        <v>184</v>
      </c>
      <c r="C73" s="4" t="s">
        <v>182</v>
      </c>
      <c r="D73" s="7" t="n">
        <v>165</v>
      </c>
      <c r="E73" s="7" t="n">
        <v>480</v>
      </c>
      <c r="F73" s="7" t="n">
        <v>507</v>
      </c>
      <c r="G73" s="7" t="n">
        <v>507</v>
      </c>
      <c r="H73" s="5" t="n">
        <v>103.5</v>
      </c>
      <c r="I73" s="16" t="n">
        <f aca="false">G73/E73-1</f>
        <v>0.0562499999999999</v>
      </c>
      <c r="J73" s="13" t="n">
        <f aca="false">D73*(1+前提!$B$18*I73)</f>
        <v>162.215625</v>
      </c>
      <c r="K73" s="17" t="n">
        <f aca="false">D73*E73</f>
        <v>79200</v>
      </c>
      <c r="L73" s="17" t="n">
        <f aca="false">J73*G73</f>
        <v>82243.321875</v>
      </c>
      <c r="M73" s="17" t="n">
        <f aca="false">D73*H73</f>
        <v>17077.5</v>
      </c>
      <c r="N73" s="17" t="n">
        <f aca="false">J73*H73</f>
        <v>16789.3171875</v>
      </c>
      <c r="O73" s="18" t="n">
        <f aca="false">(L73-N73)-(K73-M73)</f>
        <v>3331.50468750001</v>
      </c>
      <c r="P73" s="4"/>
    </row>
    <row r="74" customFormat="false" ht="15" hidden="false" customHeight="false" outlineLevel="0" collapsed="false">
      <c r="A74" s="6" t="s">
        <v>185</v>
      </c>
      <c r="B74" s="4" t="s">
        <v>186</v>
      </c>
      <c r="C74" s="4" t="s">
        <v>182</v>
      </c>
      <c r="D74" s="7" t="n">
        <v>107</v>
      </c>
      <c r="E74" s="7" t="n">
        <v>480</v>
      </c>
      <c r="F74" s="7" t="n">
        <v>507</v>
      </c>
      <c r="G74" s="7" t="n">
        <v>507</v>
      </c>
      <c r="H74" s="5" t="n">
        <v>122.2</v>
      </c>
      <c r="I74" s="16" t="n">
        <f aca="false">G74/E74-1</f>
        <v>0.0562499999999999</v>
      </c>
      <c r="J74" s="13" t="n">
        <f aca="false">D74*(1+前提!$B$18*I74)</f>
        <v>105.194375</v>
      </c>
      <c r="K74" s="17" t="n">
        <f aca="false">D74*E74</f>
        <v>51360</v>
      </c>
      <c r="L74" s="17" t="n">
        <f aca="false">J74*G74</f>
        <v>53333.548125</v>
      </c>
      <c r="M74" s="17" t="n">
        <f aca="false">D74*H74</f>
        <v>13075.4</v>
      </c>
      <c r="N74" s="17" t="n">
        <f aca="false">J74*H74</f>
        <v>12854.752625</v>
      </c>
      <c r="O74" s="18" t="n">
        <f aca="false">(L74-N74)-(K74-M74)</f>
        <v>2194.1955</v>
      </c>
      <c r="P74" s="4"/>
    </row>
    <row r="75" customFormat="false" ht="15" hidden="false" customHeight="false" outlineLevel="0" collapsed="false">
      <c r="A75" s="6" t="s">
        <v>187</v>
      </c>
      <c r="B75" s="4" t="s">
        <v>188</v>
      </c>
      <c r="C75" s="4" t="s">
        <v>182</v>
      </c>
      <c r="D75" s="7" t="n">
        <v>193</v>
      </c>
      <c r="E75" s="7" t="n">
        <v>280</v>
      </c>
      <c r="F75" s="7" t="n">
        <v>307</v>
      </c>
      <c r="G75" s="7" t="n">
        <v>307</v>
      </c>
      <c r="H75" s="5" t="n">
        <v>57.9</v>
      </c>
      <c r="I75" s="16" t="n">
        <f aca="false">G75/E75-1</f>
        <v>0.0964285714285715</v>
      </c>
      <c r="J75" s="13" t="n">
        <f aca="false">D75*(1+前提!$B$18*I75)</f>
        <v>187.416785714286</v>
      </c>
      <c r="K75" s="17" t="n">
        <f aca="false">D75*E75</f>
        <v>54040</v>
      </c>
      <c r="L75" s="17" t="n">
        <f aca="false">J75*G75</f>
        <v>57536.9532142857</v>
      </c>
      <c r="M75" s="17" t="n">
        <f aca="false">D75*H75</f>
        <v>11174.7</v>
      </c>
      <c r="N75" s="17" t="n">
        <f aca="false">J75*H75</f>
        <v>10851.4318928571</v>
      </c>
      <c r="O75" s="18" t="n">
        <f aca="false">(L75-N75)-(K75-M75)</f>
        <v>3820.22132142857</v>
      </c>
      <c r="P75" s="4"/>
    </row>
    <row r="76" customFormat="false" ht="15" hidden="false" customHeight="false" outlineLevel="0" collapsed="false">
      <c r="A76" s="6" t="s">
        <v>189</v>
      </c>
      <c r="B76" s="4" t="s">
        <v>190</v>
      </c>
      <c r="C76" s="4" t="s">
        <v>182</v>
      </c>
      <c r="D76" s="7" t="n">
        <v>136</v>
      </c>
      <c r="E76" s="7" t="n">
        <v>280</v>
      </c>
      <c r="F76" s="7" t="n">
        <v>307</v>
      </c>
      <c r="G76" s="7" t="n">
        <v>307</v>
      </c>
      <c r="H76" s="5" t="n">
        <v>50.2</v>
      </c>
      <c r="I76" s="16" t="n">
        <f aca="false">G76/E76-1</f>
        <v>0.0964285714285715</v>
      </c>
      <c r="J76" s="13" t="n">
        <f aca="false">D76*(1+前提!$B$18*I76)</f>
        <v>132.065714285714</v>
      </c>
      <c r="K76" s="17" t="n">
        <f aca="false">D76*E76</f>
        <v>38080</v>
      </c>
      <c r="L76" s="17" t="n">
        <f aca="false">J76*G76</f>
        <v>40544.1742857143</v>
      </c>
      <c r="M76" s="17" t="n">
        <f aca="false">D76*H76</f>
        <v>6827.2</v>
      </c>
      <c r="N76" s="17" t="n">
        <f aca="false">J76*H76</f>
        <v>6629.69885714286</v>
      </c>
      <c r="O76" s="18" t="n">
        <f aca="false">(L76-N76)-(K76-M76)</f>
        <v>2661.67542857142</v>
      </c>
      <c r="P76" s="4"/>
    </row>
    <row r="77" customFormat="false" ht="15" hidden="false" customHeight="false" outlineLevel="0" collapsed="false">
      <c r="A77" s="6" t="s">
        <v>191</v>
      </c>
      <c r="B77" s="4" t="s">
        <v>192</v>
      </c>
      <c r="C77" s="4" t="s">
        <v>182</v>
      </c>
      <c r="D77" s="7" t="n">
        <v>74</v>
      </c>
      <c r="E77" s="7" t="n">
        <v>480</v>
      </c>
      <c r="F77" s="7" t="n">
        <v>507</v>
      </c>
      <c r="G77" s="7" t="n">
        <v>507</v>
      </c>
      <c r="H77" s="5" t="n">
        <v>129.2</v>
      </c>
      <c r="I77" s="16" t="n">
        <f aca="false">G77/E77-1</f>
        <v>0.0562499999999999</v>
      </c>
      <c r="J77" s="13" t="n">
        <f aca="false">D77*(1+前提!$B$18*I77)</f>
        <v>72.75125</v>
      </c>
      <c r="K77" s="17" t="n">
        <f aca="false">D77*E77</f>
        <v>35520</v>
      </c>
      <c r="L77" s="17" t="n">
        <f aca="false">J77*G77</f>
        <v>36884.88375</v>
      </c>
      <c r="M77" s="17" t="n">
        <f aca="false">D77*H77</f>
        <v>9560.8</v>
      </c>
      <c r="N77" s="17" t="n">
        <f aca="false">J77*H77</f>
        <v>9399.4615</v>
      </c>
      <c r="O77" s="18" t="n">
        <f aca="false">(L77-N77)-(K77-M77)</f>
        <v>1526.22225</v>
      </c>
      <c r="P77" s="4"/>
    </row>
    <row r="78" customFormat="false" ht="15" hidden="false" customHeight="false" outlineLevel="0" collapsed="false">
      <c r="A78" s="6" t="s">
        <v>193</v>
      </c>
      <c r="B78" s="4" t="s">
        <v>194</v>
      </c>
      <c r="C78" s="4" t="s">
        <v>182</v>
      </c>
      <c r="D78" s="7" t="n">
        <v>114</v>
      </c>
      <c r="E78" s="7" t="n">
        <v>280</v>
      </c>
      <c r="F78" s="7" t="n">
        <v>307</v>
      </c>
      <c r="G78" s="7" t="n">
        <v>307</v>
      </c>
      <c r="H78" s="5" t="n">
        <v>64.3</v>
      </c>
      <c r="I78" s="16" t="n">
        <f aca="false">G78/E78-1</f>
        <v>0.0964285714285715</v>
      </c>
      <c r="J78" s="13" t="n">
        <f aca="false">D78*(1+前提!$B$18*I78)</f>
        <v>110.702142857143</v>
      </c>
      <c r="K78" s="17" t="n">
        <f aca="false">D78*E78</f>
        <v>31920</v>
      </c>
      <c r="L78" s="17" t="n">
        <f aca="false">J78*G78</f>
        <v>33985.5578571429</v>
      </c>
      <c r="M78" s="17" t="n">
        <f aca="false">D78*H78</f>
        <v>7330.2</v>
      </c>
      <c r="N78" s="17" t="n">
        <f aca="false">J78*H78</f>
        <v>7118.14778571429</v>
      </c>
      <c r="O78" s="18" t="n">
        <f aca="false">(L78-N78)-(K78-M78)</f>
        <v>2277.61007142857</v>
      </c>
      <c r="P78" s="4"/>
    </row>
    <row r="79" customFormat="false" ht="15" hidden="false" customHeight="false" outlineLevel="0" collapsed="false">
      <c r="A79" s="6" t="s">
        <v>195</v>
      </c>
      <c r="B79" s="4" t="s">
        <v>196</v>
      </c>
      <c r="C79" s="4" t="s">
        <v>182</v>
      </c>
      <c r="D79" s="7" t="n">
        <v>112</v>
      </c>
      <c r="E79" s="7" t="n">
        <v>280</v>
      </c>
      <c r="F79" s="7" t="n">
        <v>307</v>
      </c>
      <c r="G79" s="7" t="n">
        <v>307</v>
      </c>
      <c r="H79" s="5" t="n">
        <v>57.2</v>
      </c>
      <c r="I79" s="16" t="n">
        <f aca="false">G79/E79-1</f>
        <v>0.0964285714285715</v>
      </c>
      <c r="J79" s="13" t="n">
        <f aca="false">D79*(1+前提!$B$18*I79)</f>
        <v>108.76</v>
      </c>
      <c r="K79" s="17" t="n">
        <f aca="false">D79*E79</f>
        <v>31360</v>
      </c>
      <c r="L79" s="17" t="n">
        <f aca="false">J79*G79</f>
        <v>33389.32</v>
      </c>
      <c r="M79" s="17" t="n">
        <f aca="false">D79*H79</f>
        <v>6406.4</v>
      </c>
      <c r="N79" s="17" t="n">
        <f aca="false">J79*H79</f>
        <v>6221.072</v>
      </c>
      <c r="O79" s="18" t="n">
        <f aca="false">(L79-N79)-(K79-M79)</f>
        <v>2214.648</v>
      </c>
      <c r="P79" s="4"/>
    </row>
    <row r="80" customFormat="false" ht="15" hidden="false" customHeight="false" outlineLevel="0" collapsed="false">
      <c r="A80" s="6" t="s">
        <v>197</v>
      </c>
      <c r="B80" s="4" t="s">
        <v>198</v>
      </c>
      <c r="C80" s="4" t="s">
        <v>182</v>
      </c>
      <c r="D80" s="7" t="n">
        <v>109</v>
      </c>
      <c r="E80" s="7" t="n">
        <v>280</v>
      </c>
      <c r="F80" s="7" t="n">
        <v>307</v>
      </c>
      <c r="G80" s="7" t="n">
        <v>307</v>
      </c>
      <c r="H80" s="5" t="n">
        <v>49.2</v>
      </c>
      <c r="I80" s="16" t="n">
        <f aca="false">G80/E80-1</f>
        <v>0.0964285714285715</v>
      </c>
      <c r="J80" s="13" t="n">
        <f aca="false">D80*(1+前提!$B$18*I80)</f>
        <v>105.846785714286</v>
      </c>
      <c r="K80" s="17" t="n">
        <f aca="false">D80*E80</f>
        <v>30520</v>
      </c>
      <c r="L80" s="17" t="n">
        <f aca="false">J80*G80</f>
        <v>32494.9632142857</v>
      </c>
      <c r="M80" s="17" t="n">
        <f aca="false">D80*H80</f>
        <v>5362.8</v>
      </c>
      <c r="N80" s="17" t="n">
        <f aca="false">J80*H80</f>
        <v>5207.66185714286</v>
      </c>
      <c r="O80" s="18" t="n">
        <f aca="false">(L80-N80)-(K80-M80)</f>
        <v>2130.10135714286</v>
      </c>
      <c r="P80" s="4"/>
    </row>
    <row r="81" customFormat="false" ht="15" hidden="false" customHeight="false" outlineLevel="0" collapsed="false">
      <c r="A81" s="6" t="s">
        <v>199</v>
      </c>
      <c r="B81" s="4" t="s">
        <v>200</v>
      </c>
      <c r="C81" s="4" t="s">
        <v>182</v>
      </c>
      <c r="D81" s="7" t="n">
        <v>50</v>
      </c>
      <c r="E81" s="7" t="n">
        <v>640</v>
      </c>
      <c r="F81" s="7" t="n">
        <v>640</v>
      </c>
      <c r="G81" s="7" t="n">
        <v>640</v>
      </c>
      <c r="H81" s="5" t="n">
        <v>166.02489027489</v>
      </c>
      <c r="I81" s="16" t="n">
        <f aca="false">G81/E81-1</f>
        <v>0</v>
      </c>
      <c r="J81" s="13" t="n">
        <f aca="false">D81*(1+前提!$B$18*I81)</f>
        <v>50</v>
      </c>
      <c r="K81" s="17" t="n">
        <f aca="false">D81*E81</f>
        <v>32000</v>
      </c>
      <c r="L81" s="17" t="n">
        <f aca="false">J81*G81</f>
        <v>32000</v>
      </c>
      <c r="M81" s="17" t="n">
        <f aca="false">D81*H81</f>
        <v>8301.2445137445</v>
      </c>
      <c r="N81" s="17" t="n">
        <f aca="false">J81*H81</f>
        <v>8301.2445137445</v>
      </c>
      <c r="O81" s="18" t="n">
        <f aca="false">(L81-N81)-(K81-M81)</f>
        <v>0</v>
      </c>
      <c r="P81" s="4"/>
    </row>
    <row r="82" customFormat="false" ht="15" hidden="false" customHeight="false" outlineLevel="0" collapsed="false">
      <c r="A82" s="6" t="s">
        <v>201</v>
      </c>
      <c r="B82" s="4" t="s">
        <v>202</v>
      </c>
      <c r="C82" s="4" t="s">
        <v>182</v>
      </c>
      <c r="D82" s="7" t="n">
        <v>84</v>
      </c>
      <c r="E82" s="7" t="n">
        <v>280</v>
      </c>
      <c r="F82" s="7" t="n">
        <v>307</v>
      </c>
      <c r="G82" s="7" t="n">
        <v>307</v>
      </c>
      <c r="H82" s="5" t="n">
        <v>56.7</v>
      </c>
      <c r="I82" s="16" t="n">
        <f aca="false">G82/E82-1</f>
        <v>0.0964285714285715</v>
      </c>
      <c r="J82" s="13" t="n">
        <f aca="false">D82*(1+前提!$B$18*I82)</f>
        <v>81.57</v>
      </c>
      <c r="K82" s="17" t="n">
        <f aca="false">D82*E82</f>
        <v>23520</v>
      </c>
      <c r="L82" s="17" t="n">
        <f aca="false">J82*G82</f>
        <v>25041.99</v>
      </c>
      <c r="M82" s="17" t="n">
        <f aca="false">D82*H82</f>
        <v>4762.8</v>
      </c>
      <c r="N82" s="17" t="n">
        <f aca="false">J82*H82</f>
        <v>4625.019</v>
      </c>
      <c r="O82" s="18" t="n">
        <f aca="false">(L82-N82)-(K82-M82)</f>
        <v>1659.771</v>
      </c>
      <c r="P82" s="4"/>
    </row>
    <row r="83" customFormat="false" ht="15" hidden="false" customHeight="false" outlineLevel="0" collapsed="false">
      <c r="A83" s="6" t="s">
        <v>203</v>
      </c>
      <c r="B83" s="4" t="s">
        <v>204</v>
      </c>
      <c r="C83" s="4" t="s">
        <v>182</v>
      </c>
      <c r="D83" s="7" t="n">
        <v>81</v>
      </c>
      <c r="E83" s="7" t="n">
        <v>280</v>
      </c>
      <c r="F83" s="7" t="n">
        <v>307</v>
      </c>
      <c r="G83" s="7" t="n">
        <v>307</v>
      </c>
      <c r="H83" s="5" t="n">
        <v>31.5</v>
      </c>
      <c r="I83" s="16" t="n">
        <f aca="false">G83/E83-1</f>
        <v>0.0964285714285715</v>
      </c>
      <c r="J83" s="13" t="n">
        <f aca="false">D83*(1+前提!$B$18*I83)</f>
        <v>78.6567857142857</v>
      </c>
      <c r="K83" s="17" t="n">
        <f aca="false">D83*E83</f>
        <v>22680</v>
      </c>
      <c r="L83" s="17" t="n">
        <f aca="false">J83*G83</f>
        <v>24147.6332142857</v>
      </c>
      <c r="M83" s="17" t="n">
        <f aca="false">D83*H83</f>
        <v>2551.5</v>
      </c>
      <c r="N83" s="17" t="n">
        <f aca="false">J83*H83</f>
        <v>2477.68875</v>
      </c>
      <c r="O83" s="18" t="n">
        <f aca="false">(L83-N83)-(K83-M83)</f>
        <v>1541.44446428571</v>
      </c>
      <c r="P83" s="4"/>
    </row>
    <row r="84" customFormat="false" ht="15" hidden="false" customHeight="false" outlineLevel="0" collapsed="false">
      <c r="A84" s="4" t="s">
        <v>205</v>
      </c>
      <c r="B84" s="4" t="s">
        <v>206</v>
      </c>
      <c r="C84" s="4" t="s">
        <v>182</v>
      </c>
      <c r="D84" s="7" t="n">
        <v>75</v>
      </c>
      <c r="E84" s="7" t="n">
        <v>280</v>
      </c>
      <c r="F84" s="7" t="n">
        <v>307</v>
      </c>
      <c r="G84" s="7" t="n">
        <v>307</v>
      </c>
      <c r="H84" s="5" t="n">
        <v>61.5</v>
      </c>
      <c r="I84" s="16" t="n">
        <f aca="false">G84/E84-1</f>
        <v>0.0964285714285715</v>
      </c>
      <c r="J84" s="13" t="n">
        <f aca="false">D84*(1+前提!$B$18*I84)</f>
        <v>72.8303571428571</v>
      </c>
      <c r="K84" s="17" t="n">
        <f aca="false">D84*E84</f>
        <v>21000</v>
      </c>
      <c r="L84" s="17" t="n">
        <f aca="false">J84*G84</f>
        <v>22358.9196428571</v>
      </c>
      <c r="M84" s="17" t="n">
        <f aca="false">D84*H84</f>
        <v>4612.5</v>
      </c>
      <c r="N84" s="17" t="n">
        <f aca="false">J84*H84</f>
        <v>4479.06696428571</v>
      </c>
      <c r="O84" s="18" t="n">
        <f aca="false">(L84-N84)-(K84-M84)</f>
        <v>1492.35267857143</v>
      </c>
      <c r="P84" s="4"/>
    </row>
    <row r="85" customFormat="false" ht="15" hidden="false" customHeight="false" outlineLevel="0" collapsed="false">
      <c r="A85" s="6" t="s">
        <v>207</v>
      </c>
      <c r="B85" s="4" t="s">
        <v>208</v>
      </c>
      <c r="C85" s="4" t="s">
        <v>182</v>
      </c>
      <c r="D85" s="7" t="n">
        <v>71</v>
      </c>
      <c r="E85" s="7" t="n">
        <v>280</v>
      </c>
      <c r="F85" s="7" t="n">
        <v>307</v>
      </c>
      <c r="G85" s="7" t="n">
        <v>307</v>
      </c>
      <c r="H85" s="5" t="n">
        <v>40.4</v>
      </c>
      <c r="I85" s="16" t="n">
        <f aca="false">G85/E85-1</f>
        <v>0.0964285714285715</v>
      </c>
      <c r="J85" s="13" t="n">
        <f aca="false">D85*(1+前提!$B$18*I85)</f>
        <v>68.9460714285714</v>
      </c>
      <c r="K85" s="17" t="n">
        <f aca="false">D85*E85</f>
        <v>19880</v>
      </c>
      <c r="L85" s="17" t="n">
        <f aca="false">J85*G85</f>
        <v>21166.4439285714</v>
      </c>
      <c r="M85" s="17" t="n">
        <f aca="false">D85*H85</f>
        <v>2868.4</v>
      </c>
      <c r="N85" s="17" t="n">
        <f aca="false">J85*H85</f>
        <v>2785.42128571429</v>
      </c>
      <c r="O85" s="18" t="n">
        <f aca="false">(L85-N85)-(K85-M85)</f>
        <v>1369.42264285715</v>
      </c>
      <c r="P85" s="4"/>
    </row>
    <row r="86" customFormat="false" ht="15" hidden="false" customHeight="false" outlineLevel="0" collapsed="false">
      <c r="A86" s="6" t="s">
        <v>209</v>
      </c>
      <c r="B86" s="4" t="s">
        <v>210</v>
      </c>
      <c r="C86" s="4" t="s">
        <v>182</v>
      </c>
      <c r="D86" s="7" t="n">
        <v>69</v>
      </c>
      <c r="E86" s="7" t="n">
        <v>280</v>
      </c>
      <c r="F86" s="7" t="n">
        <v>307</v>
      </c>
      <c r="G86" s="7" t="n">
        <v>307</v>
      </c>
      <c r="H86" s="5" t="n">
        <v>49</v>
      </c>
      <c r="I86" s="16" t="n">
        <f aca="false">G86/E86-1</f>
        <v>0.0964285714285715</v>
      </c>
      <c r="J86" s="13" t="n">
        <f aca="false">D86*(1+前提!$B$18*I86)</f>
        <v>67.0039285714286</v>
      </c>
      <c r="K86" s="17" t="n">
        <f aca="false">D86*E86</f>
        <v>19320</v>
      </c>
      <c r="L86" s="17" t="n">
        <f aca="false">J86*G86</f>
        <v>20570.2060714286</v>
      </c>
      <c r="M86" s="17" t="n">
        <f aca="false">D86*H86</f>
        <v>3381</v>
      </c>
      <c r="N86" s="17" t="n">
        <f aca="false">J86*H86</f>
        <v>3283.1925</v>
      </c>
      <c r="O86" s="18" t="n">
        <f aca="false">(L86-N86)-(K86-M86)</f>
        <v>1348.01357142857</v>
      </c>
      <c r="P86" s="4"/>
    </row>
    <row r="87" customFormat="false" ht="15" hidden="false" customHeight="false" outlineLevel="0" collapsed="false">
      <c r="A87" s="6" t="s">
        <v>211</v>
      </c>
      <c r="B87" s="4" t="s">
        <v>212</v>
      </c>
      <c r="C87" s="4" t="s">
        <v>182</v>
      </c>
      <c r="D87" s="7" t="n">
        <v>35</v>
      </c>
      <c r="E87" s="7" t="n">
        <v>480</v>
      </c>
      <c r="F87" s="7" t="n">
        <v>507</v>
      </c>
      <c r="G87" s="7" t="n">
        <v>507</v>
      </c>
      <c r="H87" s="5" t="n">
        <v>121.2</v>
      </c>
      <c r="I87" s="16" t="n">
        <f aca="false">G87/E87-1</f>
        <v>0.0562499999999999</v>
      </c>
      <c r="J87" s="13" t="n">
        <f aca="false">D87*(1+前提!$B$18*I87)</f>
        <v>34.409375</v>
      </c>
      <c r="K87" s="17" t="n">
        <f aca="false">D87*E87</f>
        <v>16800</v>
      </c>
      <c r="L87" s="17" t="n">
        <f aca="false">J87*G87</f>
        <v>17445.553125</v>
      </c>
      <c r="M87" s="17" t="n">
        <f aca="false">D87*H87</f>
        <v>4242</v>
      </c>
      <c r="N87" s="17" t="n">
        <f aca="false">J87*H87</f>
        <v>4170.41625</v>
      </c>
      <c r="O87" s="18" t="n">
        <f aca="false">(L87-N87)-(K87-M87)</f>
        <v>717.136875000002</v>
      </c>
      <c r="P87" s="4"/>
    </row>
    <row r="88" customFormat="false" ht="15" hidden="false" customHeight="false" outlineLevel="0" collapsed="false">
      <c r="A88" s="6" t="s">
        <v>213</v>
      </c>
      <c r="B88" s="4" t="s">
        <v>214</v>
      </c>
      <c r="C88" s="4" t="s">
        <v>182</v>
      </c>
      <c r="D88" s="7" t="n">
        <v>56</v>
      </c>
      <c r="E88" s="7" t="n">
        <v>280</v>
      </c>
      <c r="F88" s="7" t="n">
        <v>307</v>
      </c>
      <c r="G88" s="7" t="n">
        <v>307</v>
      </c>
      <c r="H88" s="5" t="n">
        <v>57.2</v>
      </c>
      <c r="I88" s="16" t="n">
        <f aca="false">G88/E88-1</f>
        <v>0.0964285714285715</v>
      </c>
      <c r="J88" s="13" t="n">
        <f aca="false">D88*(1+前提!$B$18*I88)</f>
        <v>54.38</v>
      </c>
      <c r="K88" s="17" t="n">
        <f aca="false">D88*E88</f>
        <v>15680</v>
      </c>
      <c r="L88" s="17" t="n">
        <f aca="false">J88*G88</f>
        <v>16694.66</v>
      </c>
      <c r="M88" s="17" t="n">
        <f aca="false">D88*H88</f>
        <v>3203.2</v>
      </c>
      <c r="N88" s="17" t="n">
        <f aca="false">J88*H88</f>
        <v>3110.536</v>
      </c>
      <c r="O88" s="18" t="n">
        <f aca="false">(L88-N88)-(K88-M88)</f>
        <v>1107.324</v>
      </c>
      <c r="P88" s="4"/>
    </row>
    <row r="89" customFormat="false" ht="15" hidden="false" customHeight="false" outlineLevel="0" collapsed="false">
      <c r="A89" s="4" t="s">
        <v>215</v>
      </c>
      <c r="B89" s="4" t="s">
        <v>215</v>
      </c>
      <c r="C89" s="4" t="s">
        <v>182</v>
      </c>
      <c r="D89" s="7" t="n">
        <v>30</v>
      </c>
      <c r="E89" s="7" t="n">
        <v>480</v>
      </c>
      <c r="F89" s="7" t="n">
        <v>480</v>
      </c>
      <c r="G89" s="7" t="n">
        <v>480</v>
      </c>
      <c r="H89" s="5" t="n">
        <v>130.7</v>
      </c>
      <c r="I89" s="16" t="n">
        <f aca="false">G89/E89-1</f>
        <v>0</v>
      </c>
      <c r="J89" s="13" t="n">
        <f aca="false">D89*(1+前提!$B$18*I89)</f>
        <v>30</v>
      </c>
      <c r="K89" s="17" t="n">
        <f aca="false">D89*E89</f>
        <v>14400</v>
      </c>
      <c r="L89" s="17" t="n">
        <f aca="false">J89*G89</f>
        <v>14400</v>
      </c>
      <c r="M89" s="17" t="n">
        <f aca="false">D89*H89</f>
        <v>3921</v>
      </c>
      <c r="N89" s="17" t="n">
        <f aca="false">J89*H89</f>
        <v>3921</v>
      </c>
      <c r="O89" s="18" t="n">
        <f aca="false">(L89-N89)-(K89-M89)</f>
        <v>0</v>
      </c>
      <c r="P89" s="4"/>
    </row>
    <row r="90" customFormat="false" ht="15" hidden="false" customHeight="false" outlineLevel="0" collapsed="false">
      <c r="A90" s="6" t="s">
        <v>216</v>
      </c>
      <c r="B90" s="4" t="s">
        <v>217</v>
      </c>
      <c r="C90" s="4" t="s">
        <v>182</v>
      </c>
      <c r="D90" s="7" t="n">
        <v>26</v>
      </c>
      <c r="E90" s="7" t="n">
        <v>480</v>
      </c>
      <c r="F90" s="7" t="n">
        <v>507</v>
      </c>
      <c r="G90" s="7" t="n">
        <v>507</v>
      </c>
      <c r="H90" s="5" t="n">
        <v>121</v>
      </c>
      <c r="I90" s="16" t="n">
        <f aca="false">G90/E90-1</f>
        <v>0.0562499999999999</v>
      </c>
      <c r="J90" s="13" t="n">
        <f aca="false">D90*(1+前提!$B$18*I90)</f>
        <v>25.56125</v>
      </c>
      <c r="K90" s="17" t="n">
        <f aca="false">D90*E90</f>
        <v>12480</v>
      </c>
      <c r="L90" s="17" t="n">
        <f aca="false">J90*G90</f>
        <v>12959.55375</v>
      </c>
      <c r="M90" s="17" t="n">
        <f aca="false">D90*H90</f>
        <v>3146</v>
      </c>
      <c r="N90" s="17" t="n">
        <f aca="false">J90*H90</f>
        <v>3092.91125</v>
      </c>
      <c r="O90" s="18" t="n">
        <f aca="false">(L90-N90)-(K90-M90)</f>
        <v>532.642500000002</v>
      </c>
      <c r="P90" s="4"/>
    </row>
    <row r="91" customFormat="false" ht="15" hidden="false" customHeight="false" outlineLevel="0" collapsed="false">
      <c r="A91" s="6" t="s">
        <v>218</v>
      </c>
      <c r="B91" s="4" t="s">
        <v>219</v>
      </c>
      <c r="C91" s="4" t="s">
        <v>182</v>
      </c>
      <c r="D91" s="7" t="n">
        <v>25</v>
      </c>
      <c r="E91" s="7" t="n">
        <v>480</v>
      </c>
      <c r="F91" s="7" t="n">
        <v>507</v>
      </c>
      <c r="G91" s="7" t="n">
        <v>507</v>
      </c>
      <c r="H91" s="5" t="n">
        <v>133.5</v>
      </c>
      <c r="I91" s="16" t="n">
        <f aca="false">G91/E91-1</f>
        <v>0.0562499999999999</v>
      </c>
      <c r="J91" s="13" t="n">
        <f aca="false">D91*(1+前提!$B$18*I91)</f>
        <v>24.578125</v>
      </c>
      <c r="K91" s="17" t="n">
        <f aca="false">D91*E91</f>
        <v>12000</v>
      </c>
      <c r="L91" s="17" t="n">
        <f aca="false">J91*G91</f>
        <v>12461.109375</v>
      </c>
      <c r="M91" s="17" t="n">
        <f aca="false">D91*H91</f>
        <v>3337.5</v>
      </c>
      <c r="N91" s="17" t="n">
        <f aca="false">J91*H91</f>
        <v>3281.1796875</v>
      </c>
      <c r="O91" s="18" t="n">
        <f aca="false">(L91-N91)-(K91-M91)</f>
        <v>517.4296875</v>
      </c>
      <c r="P91" s="4"/>
    </row>
    <row r="92" customFormat="false" ht="15" hidden="false" customHeight="false" outlineLevel="0" collapsed="false">
      <c r="A92" s="6" t="s">
        <v>220</v>
      </c>
      <c r="B92" s="4" t="s">
        <v>221</v>
      </c>
      <c r="C92" s="4" t="s">
        <v>182</v>
      </c>
      <c r="D92" s="7" t="n">
        <v>37</v>
      </c>
      <c r="E92" s="7" t="n">
        <v>280</v>
      </c>
      <c r="F92" s="7" t="n">
        <v>307</v>
      </c>
      <c r="G92" s="7" t="n">
        <v>307</v>
      </c>
      <c r="H92" s="5" t="n">
        <v>62.8</v>
      </c>
      <c r="I92" s="16" t="n">
        <f aca="false">G92/E92-1</f>
        <v>0.0964285714285715</v>
      </c>
      <c r="J92" s="13" t="n">
        <f aca="false">D92*(1+前提!$B$18*I92)</f>
        <v>35.9296428571429</v>
      </c>
      <c r="K92" s="17" t="n">
        <f aca="false">D92*E92</f>
        <v>10360</v>
      </c>
      <c r="L92" s="17" t="n">
        <f aca="false">J92*G92</f>
        <v>11030.4003571429</v>
      </c>
      <c r="M92" s="17" t="n">
        <f aca="false">D92*H92</f>
        <v>2323.6</v>
      </c>
      <c r="N92" s="17" t="n">
        <f aca="false">J92*H92</f>
        <v>2256.38157142857</v>
      </c>
      <c r="O92" s="18" t="n">
        <f aca="false">(L92-N92)-(K92-M92)</f>
        <v>737.618785714287</v>
      </c>
      <c r="P92" s="4"/>
    </row>
    <row r="93" customFormat="false" ht="15" hidden="false" customHeight="false" outlineLevel="0" collapsed="false">
      <c r="A93" s="6" t="s">
        <v>222</v>
      </c>
      <c r="B93" s="4" t="s">
        <v>223</v>
      </c>
      <c r="C93" s="4" t="s">
        <v>182</v>
      </c>
      <c r="D93" s="7" t="n">
        <v>9</v>
      </c>
      <c r="E93" s="7" t="n">
        <v>480</v>
      </c>
      <c r="F93" s="7" t="n">
        <v>507</v>
      </c>
      <c r="G93" s="7" t="n">
        <v>507</v>
      </c>
      <c r="H93" s="5" t="n">
        <v>134.8</v>
      </c>
      <c r="I93" s="16" t="n">
        <f aca="false">G93/E93-1</f>
        <v>0.0562499999999999</v>
      </c>
      <c r="J93" s="13" t="n">
        <f aca="false">D93*(1+前提!$B$18*I93)</f>
        <v>8.848125</v>
      </c>
      <c r="K93" s="17" t="n">
        <f aca="false">D93*E93</f>
        <v>4320</v>
      </c>
      <c r="L93" s="17" t="n">
        <f aca="false">J93*G93</f>
        <v>4485.999375</v>
      </c>
      <c r="M93" s="17" t="n">
        <f aca="false">D93*H93</f>
        <v>1213.2</v>
      </c>
      <c r="N93" s="17" t="n">
        <f aca="false">J93*H93</f>
        <v>1192.72725</v>
      </c>
      <c r="O93" s="18" t="n">
        <f aca="false">(L93-N93)-(K93-M93)</f>
        <v>186.472124999999</v>
      </c>
      <c r="P93" s="4"/>
    </row>
    <row r="94" customFormat="false" ht="15" hidden="false" customHeight="false" outlineLevel="0" collapsed="false">
      <c r="A94" s="6" t="s">
        <v>224</v>
      </c>
      <c r="B94" s="4" t="s">
        <v>225</v>
      </c>
      <c r="C94" s="4" t="s">
        <v>226</v>
      </c>
      <c r="D94" s="7" t="n">
        <v>443</v>
      </c>
      <c r="E94" s="7" t="n">
        <v>430</v>
      </c>
      <c r="F94" s="7" t="n">
        <v>448</v>
      </c>
      <c r="G94" s="7" t="n">
        <v>448</v>
      </c>
      <c r="H94" s="5" t="n">
        <v>104.9</v>
      </c>
      <c r="I94" s="16" t="n">
        <f aca="false">G94/E94-1</f>
        <v>0.0418604651162791</v>
      </c>
      <c r="J94" s="13" t="n">
        <f aca="false">D94*(1+前提!$B$18*I94)</f>
        <v>437.436744186047</v>
      </c>
      <c r="K94" s="17" t="n">
        <f aca="false">D94*E94</f>
        <v>190490</v>
      </c>
      <c r="L94" s="17" t="n">
        <f aca="false">J94*G94</f>
        <v>195971.661395349</v>
      </c>
      <c r="M94" s="17" t="n">
        <f aca="false">D94*H94</f>
        <v>46470.7</v>
      </c>
      <c r="N94" s="17" t="n">
        <f aca="false">J94*H94</f>
        <v>45887.1144651163</v>
      </c>
      <c r="O94" s="18" t="n">
        <f aca="false">(L94-N94)-(K94-M94)</f>
        <v>6065.24693023256</v>
      </c>
      <c r="P94" s="4"/>
    </row>
    <row r="95" customFormat="false" ht="15" hidden="false" customHeight="false" outlineLevel="0" collapsed="false">
      <c r="A95" s="6" t="s">
        <v>227</v>
      </c>
      <c r="B95" s="4" t="s">
        <v>228</v>
      </c>
      <c r="C95" s="4" t="s">
        <v>226</v>
      </c>
      <c r="D95" s="7" t="n">
        <v>181</v>
      </c>
      <c r="E95" s="7" t="n">
        <v>530</v>
      </c>
      <c r="F95" s="7" t="n">
        <v>557</v>
      </c>
      <c r="G95" s="7" t="n">
        <v>557</v>
      </c>
      <c r="H95" s="5" t="n">
        <v>112.4</v>
      </c>
      <c r="I95" s="16" t="n">
        <f aca="false">G95/E95-1</f>
        <v>0.0509433962264152</v>
      </c>
      <c r="J95" s="13" t="n">
        <f aca="false">D95*(1+前提!$B$18*I95)</f>
        <v>178.233773584906</v>
      </c>
      <c r="K95" s="17" t="n">
        <f aca="false">D95*E95</f>
        <v>95930</v>
      </c>
      <c r="L95" s="17" t="n">
        <f aca="false">J95*G95</f>
        <v>99276.2118867924</v>
      </c>
      <c r="M95" s="17" t="n">
        <f aca="false">D95*H95</f>
        <v>20344.4</v>
      </c>
      <c r="N95" s="17" t="n">
        <f aca="false">J95*H95</f>
        <v>20033.4761509434</v>
      </c>
      <c r="O95" s="18" t="n">
        <f aca="false">(L95-N95)-(K95-M95)</f>
        <v>3657.13573584904</v>
      </c>
      <c r="P95" s="4"/>
    </row>
    <row r="96" customFormat="false" ht="15" hidden="false" customHeight="false" outlineLevel="0" collapsed="false">
      <c r="A96" s="6" t="s">
        <v>229</v>
      </c>
      <c r="B96" s="4" t="s">
        <v>230</v>
      </c>
      <c r="C96" s="4" t="s">
        <v>226</v>
      </c>
      <c r="D96" s="7" t="n">
        <v>161</v>
      </c>
      <c r="E96" s="7" t="n">
        <v>530</v>
      </c>
      <c r="F96" s="7" t="n">
        <v>557</v>
      </c>
      <c r="G96" s="7" t="n">
        <v>557</v>
      </c>
      <c r="H96" s="5" t="n">
        <v>132.8</v>
      </c>
      <c r="I96" s="16" t="n">
        <f aca="false">G96/E96-1</f>
        <v>0.0509433962264152</v>
      </c>
      <c r="J96" s="13" t="n">
        <f aca="false">D96*(1+前提!$B$18*I96)</f>
        <v>158.539433962264</v>
      </c>
      <c r="K96" s="17" t="n">
        <f aca="false">D96*E96</f>
        <v>85330</v>
      </c>
      <c r="L96" s="17" t="n">
        <f aca="false">J96*G96</f>
        <v>88306.4647169811</v>
      </c>
      <c r="M96" s="17" t="n">
        <f aca="false">D96*H96</f>
        <v>21380.8</v>
      </c>
      <c r="N96" s="17" t="n">
        <f aca="false">J96*H96</f>
        <v>21054.0368301887</v>
      </c>
      <c r="O96" s="18" t="n">
        <f aca="false">(L96-N96)-(K96-M96)</f>
        <v>3303.22788679245</v>
      </c>
      <c r="P96" s="4"/>
    </row>
    <row r="97" customFormat="false" ht="15" hidden="false" customHeight="false" outlineLevel="0" collapsed="false">
      <c r="A97" s="6" t="s">
        <v>231</v>
      </c>
      <c r="B97" s="4" t="s">
        <v>232</v>
      </c>
      <c r="C97" s="4" t="s">
        <v>226</v>
      </c>
      <c r="D97" s="7" t="n">
        <v>85</v>
      </c>
      <c r="E97" s="7" t="n">
        <v>530</v>
      </c>
      <c r="F97" s="7" t="n">
        <v>557</v>
      </c>
      <c r="G97" s="7" t="n">
        <v>557</v>
      </c>
      <c r="H97" s="5" t="n">
        <v>170.5</v>
      </c>
      <c r="I97" s="16" t="n">
        <f aca="false">G97/E97-1</f>
        <v>0.0509433962264152</v>
      </c>
      <c r="J97" s="13" t="n">
        <f aca="false">D97*(1+前提!$B$18*I97)</f>
        <v>83.7009433962264</v>
      </c>
      <c r="K97" s="17" t="n">
        <f aca="false">D97*E97</f>
        <v>45050</v>
      </c>
      <c r="L97" s="17" t="n">
        <f aca="false">J97*G97</f>
        <v>46621.4254716981</v>
      </c>
      <c r="M97" s="17" t="n">
        <f aca="false">D97*H97</f>
        <v>14492.5</v>
      </c>
      <c r="N97" s="17" t="n">
        <f aca="false">J97*H97</f>
        <v>14271.0108490566</v>
      </c>
      <c r="O97" s="18" t="n">
        <f aca="false">(L97-N97)-(K97-M97)</f>
        <v>1792.91462264151</v>
      </c>
      <c r="P97" s="4"/>
    </row>
    <row r="98" customFormat="false" ht="15" hidden="false" customHeight="false" outlineLevel="0" collapsed="false">
      <c r="A98" s="6" t="s">
        <v>233</v>
      </c>
      <c r="B98" s="4" t="s">
        <v>234</v>
      </c>
      <c r="C98" s="4" t="s">
        <v>226</v>
      </c>
      <c r="D98" s="7" t="n">
        <v>80</v>
      </c>
      <c r="E98" s="7" t="n">
        <v>530</v>
      </c>
      <c r="F98" s="7" t="n">
        <v>557</v>
      </c>
      <c r="G98" s="7" t="n">
        <v>557</v>
      </c>
      <c r="H98" s="5" t="n">
        <v>160.2</v>
      </c>
      <c r="I98" s="16" t="n">
        <f aca="false">G98/E98-1</f>
        <v>0.0509433962264152</v>
      </c>
      <c r="J98" s="13" t="n">
        <f aca="false">D98*(1+前提!$B$18*I98)</f>
        <v>78.777358490566</v>
      </c>
      <c r="K98" s="17" t="n">
        <f aca="false">D98*E98</f>
        <v>42400</v>
      </c>
      <c r="L98" s="17" t="n">
        <f aca="false">J98*G98</f>
        <v>43878.9886792453</v>
      </c>
      <c r="M98" s="17" t="n">
        <f aca="false">D98*H98</f>
        <v>12816</v>
      </c>
      <c r="N98" s="17" t="n">
        <f aca="false">J98*H98</f>
        <v>12620.1328301887</v>
      </c>
      <c r="O98" s="18" t="n">
        <f aca="false">(L98-N98)-(K98-M98)</f>
        <v>1674.85584905661</v>
      </c>
      <c r="P98" s="4"/>
    </row>
    <row r="99" customFormat="false" ht="15" hidden="false" customHeight="false" outlineLevel="0" collapsed="false">
      <c r="A99" s="6" t="s">
        <v>235</v>
      </c>
      <c r="B99" s="4" t="s">
        <v>236</v>
      </c>
      <c r="C99" s="4" t="s">
        <v>226</v>
      </c>
      <c r="D99" s="7" t="n">
        <v>74</v>
      </c>
      <c r="E99" s="7" t="n">
        <v>530</v>
      </c>
      <c r="F99" s="7" t="n">
        <v>557</v>
      </c>
      <c r="G99" s="7" t="n">
        <v>557</v>
      </c>
      <c r="H99" s="5" t="n">
        <v>112.9</v>
      </c>
      <c r="I99" s="16" t="n">
        <f aca="false">G99/E99-1</f>
        <v>0.0509433962264152</v>
      </c>
      <c r="J99" s="13" t="n">
        <f aca="false">D99*(1+前提!$B$18*I99)</f>
        <v>72.8690566037736</v>
      </c>
      <c r="K99" s="17" t="n">
        <f aca="false">D99*E99</f>
        <v>39220</v>
      </c>
      <c r="L99" s="17" t="n">
        <f aca="false">J99*G99</f>
        <v>40588.0645283019</v>
      </c>
      <c r="M99" s="17" t="n">
        <f aca="false">D99*H99</f>
        <v>8354.6</v>
      </c>
      <c r="N99" s="17" t="n">
        <f aca="false">J99*H99</f>
        <v>8226.91649056604</v>
      </c>
      <c r="O99" s="18" t="n">
        <f aca="false">(L99-N99)-(K99-M99)</f>
        <v>1495.74803773585</v>
      </c>
      <c r="P99" s="4"/>
    </row>
    <row r="100" customFormat="false" ht="15" hidden="false" customHeight="false" outlineLevel="0" collapsed="false">
      <c r="A100" s="6" t="s">
        <v>237</v>
      </c>
      <c r="B100" s="4" t="s">
        <v>238</v>
      </c>
      <c r="C100" s="4" t="s">
        <v>226</v>
      </c>
      <c r="D100" s="7" t="n">
        <v>45</v>
      </c>
      <c r="E100" s="7" t="n">
        <v>480</v>
      </c>
      <c r="F100" s="7" t="n">
        <v>525</v>
      </c>
      <c r="G100" s="7" t="n">
        <v>525</v>
      </c>
      <c r="H100" s="5" t="n">
        <v>82.4</v>
      </c>
      <c r="I100" s="16" t="n">
        <f aca="false">G100/E100-1</f>
        <v>0.09375</v>
      </c>
      <c r="J100" s="13" t="n">
        <f aca="false">D100*(1+前提!$B$18*I100)</f>
        <v>43.734375</v>
      </c>
      <c r="K100" s="17" t="n">
        <f aca="false">D100*E100</f>
        <v>21600</v>
      </c>
      <c r="L100" s="17" t="n">
        <f aca="false">J100*G100</f>
        <v>22960.546875</v>
      </c>
      <c r="M100" s="17" t="n">
        <f aca="false">D100*H100</f>
        <v>3708</v>
      </c>
      <c r="N100" s="17" t="n">
        <f aca="false">J100*H100</f>
        <v>3603.7125</v>
      </c>
      <c r="O100" s="18" t="n">
        <f aca="false">(L100-N100)-(K100-M100)</f>
        <v>1464.834375</v>
      </c>
      <c r="P100" s="4"/>
    </row>
    <row r="101" customFormat="false" ht="15" hidden="false" customHeight="false" outlineLevel="0" collapsed="false">
      <c r="A101" s="6" t="s">
        <v>239</v>
      </c>
      <c r="B101" s="4" t="s">
        <v>240</v>
      </c>
      <c r="C101" s="4" t="s">
        <v>226</v>
      </c>
      <c r="D101" s="7" t="n">
        <v>40</v>
      </c>
      <c r="E101" s="7" t="n">
        <v>480</v>
      </c>
      <c r="F101" s="7" t="n">
        <v>525</v>
      </c>
      <c r="G101" s="7" t="n">
        <v>525</v>
      </c>
      <c r="H101" s="5" t="n">
        <v>98</v>
      </c>
      <c r="I101" s="16" t="n">
        <f aca="false">G101/E101-1</f>
        <v>0.09375</v>
      </c>
      <c r="J101" s="13" t="n">
        <f aca="false">D101*(1+前提!$B$18*I101)</f>
        <v>38.875</v>
      </c>
      <c r="K101" s="17" t="n">
        <f aca="false">D101*E101</f>
        <v>19200</v>
      </c>
      <c r="L101" s="17" t="n">
        <f aca="false">J101*G101</f>
        <v>20409.375</v>
      </c>
      <c r="M101" s="17" t="n">
        <f aca="false">D101*H101</f>
        <v>3920</v>
      </c>
      <c r="N101" s="17" t="n">
        <f aca="false">J101*H101</f>
        <v>3809.75</v>
      </c>
      <c r="O101" s="18" t="n">
        <f aca="false">(L101-N101)-(K101-M101)</f>
        <v>1319.625</v>
      </c>
      <c r="P101" s="4"/>
    </row>
    <row r="102" customFormat="false" ht="15" hidden="false" customHeight="false" outlineLevel="0" collapsed="false">
      <c r="A102" s="6" t="s">
        <v>241</v>
      </c>
      <c r="B102" s="4" t="s">
        <v>242</v>
      </c>
      <c r="C102" s="4" t="s">
        <v>226</v>
      </c>
      <c r="D102" s="7" t="n">
        <v>31</v>
      </c>
      <c r="E102" s="7" t="n">
        <v>530</v>
      </c>
      <c r="F102" s="7" t="n">
        <v>557</v>
      </c>
      <c r="G102" s="7" t="n">
        <v>557</v>
      </c>
      <c r="H102" s="5" t="n">
        <v>26.4</v>
      </c>
      <c r="I102" s="16" t="n">
        <f aca="false">G102/E102-1</f>
        <v>0.0509433962264152</v>
      </c>
      <c r="J102" s="13" t="n">
        <f aca="false">D102*(1+前提!$B$18*I102)</f>
        <v>30.5262264150943</v>
      </c>
      <c r="K102" s="17" t="n">
        <f aca="false">D102*E102</f>
        <v>16430</v>
      </c>
      <c r="L102" s="17" t="n">
        <f aca="false">J102*G102</f>
        <v>17003.1081132075</v>
      </c>
      <c r="M102" s="17" t="n">
        <f aca="false">D102*H102</f>
        <v>818.4</v>
      </c>
      <c r="N102" s="17" t="n">
        <f aca="false">J102*H102</f>
        <v>805.892377358491</v>
      </c>
      <c r="O102" s="18" t="n">
        <f aca="false">(L102-N102)-(K102-M102)</f>
        <v>585.615735849055</v>
      </c>
      <c r="P102" s="4"/>
    </row>
    <row r="103" customFormat="false" ht="15" hidden="false" customHeight="false" outlineLevel="0" collapsed="false">
      <c r="A103" s="6" t="s">
        <v>243</v>
      </c>
      <c r="B103" s="4" t="s">
        <v>244</v>
      </c>
      <c r="C103" s="4" t="s">
        <v>226</v>
      </c>
      <c r="D103" s="7" t="n">
        <v>24</v>
      </c>
      <c r="E103" s="7" t="n">
        <v>480</v>
      </c>
      <c r="F103" s="7" t="n">
        <v>525</v>
      </c>
      <c r="G103" s="7" t="n">
        <v>525</v>
      </c>
      <c r="H103" s="5" t="n">
        <v>91.8</v>
      </c>
      <c r="I103" s="16" t="n">
        <f aca="false">G103/E103-1</f>
        <v>0.09375</v>
      </c>
      <c r="J103" s="13" t="n">
        <f aca="false">D103*(1+前提!$B$18*I103)</f>
        <v>23.325</v>
      </c>
      <c r="K103" s="17" t="n">
        <f aca="false">D103*E103</f>
        <v>11520</v>
      </c>
      <c r="L103" s="17" t="n">
        <f aca="false">J103*G103</f>
        <v>12245.625</v>
      </c>
      <c r="M103" s="17" t="n">
        <f aca="false">D103*H103</f>
        <v>2203.2</v>
      </c>
      <c r="N103" s="17" t="n">
        <f aca="false">J103*H103</f>
        <v>2141.235</v>
      </c>
      <c r="O103" s="18" t="n">
        <f aca="false">(L103-N103)-(K103-M103)</f>
        <v>787.590000000002</v>
      </c>
      <c r="P103" s="4"/>
    </row>
    <row r="104" customFormat="false" ht="15" hidden="false" customHeight="false" outlineLevel="0" collapsed="false">
      <c r="A104" s="6" t="s">
        <v>245</v>
      </c>
      <c r="B104" s="4" t="s">
        <v>246</v>
      </c>
      <c r="C104" s="4" t="s">
        <v>226</v>
      </c>
      <c r="D104" s="7" t="n">
        <v>22</v>
      </c>
      <c r="E104" s="7" t="n">
        <v>480</v>
      </c>
      <c r="F104" s="7" t="n">
        <v>525</v>
      </c>
      <c r="G104" s="7" t="n">
        <v>525</v>
      </c>
      <c r="H104" s="5" t="n">
        <v>102</v>
      </c>
      <c r="I104" s="16" t="n">
        <f aca="false">G104/E104-1</f>
        <v>0.09375</v>
      </c>
      <c r="J104" s="13" t="n">
        <f aca="false">D104*(1+前提!$B$18*I104)</f>
        <v>21.38125</v>
      </c>
      <c r="K104" s="17" t="n">
        <f aca="false">D104*E104</f>
        <v>10560</v>
      </c>
      <c r="L104" s="17" t="n">
        <f aca="false">J104*G104</f>
        <v>11225.15625</v>
      </c>
      <c r="M104" s="17" t="n">
        <f aca="false">D104*H104</f>
        <v>2244</v>
      </c>
      <c r="N104" s="17" t="n">
        <f aca="false">J104*H104</f>
        <v>2180.8875</v>
      </c>
      <c r="O104" s="18" t="n">
        <f aca="false">(L104-N104)-(K104-M104)</f>
        <v>728.268749999999</v>
      </c>
      <c r="P104" s="4"/>
    </row>
    <row r="105" customFormat="false" ht="15" hidden="false" customHeight="false" outlineLevel="0" collapsed="false">
      <c r="A105" s="6" t="s">
        <v>247</v>
      </c>
      <c r="B105" s="4" t="s">
        <v>248</v>
      </c>
      <c r="C105" s="4" t="s">
        <v>226</v>
      </c>
      <c r="D105" s="7" t="n">
        <v>20</v>
      </c>
      <c r="E105" s="7" t="n">
        <v>480</v>
      </c>
      <c r="F105" s="7" t="n">
        <v>525</v>
      </c>
      <c r="G105" s="7" t="n">
        <v>525</v>
      </c>
      <c r="H105" s="5" t="n">
        <v>103.5</v>
      </c>
      <c r="I105" s="16" t="n">
        <f aca="false">G105/E105-1</f>
        <v>0.09375</v>
      </c>
      <c r="J105" s="13" t="n">
        <f aca="false">D105*(1+前提!$B$18*I105)</f>
        <v>19.4375</v>
      </c>
      <c r="K105" s="17" t="n">
        <f aca="false">D105*E105</f>
        <v>9600</v>
      </c>
      <c r="L105" s="17" t="n">
        <f aca="false">J105*G105</f>
        <v>10204.6875</v>
      </c>
      <c r="M105" s="17" t="n">
        <f aca="false">D105*H105</f>
        <v>2070</v>
      </c>
      <c r="N105" s="17" t="n">
        <f aca="false">J105*H105</f>
        <v>2011.78125</v>
      </c>
      <c r="O105" s="18" t="n">
        <f aca="false">(L105-N105)-(K105-M105)</f>
        <v>662.90625</v>
      </c>
      <c r="P105" s="4"/>
    </row>
    <row r="106" customFormat="false" ht="15" hidden="false" customHeight="false" outlineLevel="0" collapsed="false">
      <c r="A106" s="4" t="s">
        <v>249</v>
      </c>
      <c r="B106" s="4" t="s">
        <v>250</v>
      </c>
      <c r="C106" s="4" t="s">
        <v>251</v>
      </c>
      <c r="D106" s="7" t="n">
        <v>299</v>
      </c>
      <c r="E106" s="7" t="n">
        <v>1280</v>
      </c>
      <c r="F106" s="7" t="n">
        <v>1325</v>
      </c>
      <c r="G106" s="7" t="n">
        <v>1325</v>
      </c>
      <c r="H106" s="5" t="n">
        <v>448.8</v>
      </c>
      <c r="I106" s="16" t="n">
        <f aca="false">G106/E106-1</f>
        <v>0.03515625</v>
      </c>
      <c r="J106" s="13" t="n">
        <f aca="false">D106*(1+前提!$B$18*I106)</f>
        <v>295.846484375</v>
      </c>
      <c r="K106" s="17" t="n">
        <f aca="false">D106*E106</f>
        <v>382720</v>
      </c>
      <c r="L106" s="17" t="n">
        <f aca="false">J106*G106</f>
        <v>391996.591796875</v>
      </c>
      <c r="M106" s="17" t="n">
        <f aca="false">D106*H106</f>
        <v>134191.2</v>
      </c>
      <c r="N106" s="17" t="n">
        <f aca="false">J106*H106</f>
        <v>132775.9021875</v>
      </c>
      <c r="O106" s="18" t="n">
        <f aca="false">(L106-N106)-(K106-M106)</f>
        <v>10691.889609375</v>
      </c>
      <c r="P106" s="4"/>
    </row>
    <row r="107" customFormat="false" ht="15" hidden="false" customHeight="false" outlineLevel="0" collapsed="false">
      <c r="A107" s="6" t="s">
        <v>252</v>
      </c>
      <c r="B107" s="4" t="s">
        <v>253</v>
      </c>
      <c r="C107" s="4" t="s">
        <v>251</v>
      </c>
      <c r="D107" s="7" t="n">
        <v>117</v>
      </c>
      <c r="E107" s="7" t="n">
        <v>1580</v>
      </c>
      <c r="F107" s="7" t="n">
        <v>1607</v>
      </c>
      <c r="G107" s="7" t="n">
        <v>1607</v>
      </c>
      <c r="H107" s="5" t="n">
        <v>493.6</v>
      </c>
      <c r="I107" s="16" t="n">
        <f aca="false">G107/E107-1</f>
        <v>0.0170886075949368</v>
      </c>
      <c r="J107" s="13" t="n">
        <f aca="false">D107*(1+前提!$B$18*I107)</f>
        <v>116.400189873418</v>
      </c>
      <c r="K107" s="17" t="n">
        <f aca="false">D107*E107</f>
        <v>184860</v>
      </c>
      <c r="L107" s="17" t="n">
        <f aca="false">J107*G107</f>
        <v>187055.105126582</v>
      </c>
      <c r="M107" s="17" t="n">
        <f aca="false">D107*H107</f>
        <v>57751.2</v>
      </c>
      <c r="N107" s="17" t="n">
        <f aca="false">J107*H107</f>
        <v>57455.133721519</v>
      </c>
      <c r="O107" s="18" t="n">
        <f aca="false">(L107-N107)-(K107-M107)</f>
        <v>2491.17140506329</v>
      </c>
      <c r="P107" s="4"/>
    </row>
    <row r="108" customFormat="false" ht="15" hidden="false" customHeight="false" outlineLevel="0" collapsed="false">
      <c r="A108" s="4" t="s">
        <v>254</v>
      </c>
      <c r="B108" s="4" t="s">
        <v>254</v>
      </c>
      <c r="C108" s="4" t="s">
        <v>251</v>
      </c>
      <c r="D108" s="7" t="n">
        <v>280</v>
      </c>
      <c r="E108" s="7" t="n">
        <v>480</v>
      </c>
      <c r="F108" s="7" t="n">
        <v>507</v>
      </c>
      <c r="G108" s="7" t="n">
        <v>507</v>
      </c>
      <c r="H108" s="5" t="n">
        <v>75.8</v>
      </c>
      <c r="I108" s="16" t="n">
        <f aca="false">G108/E108-1</f>
        <v>0.0562499999999999</v>
      </c>
      <c r="J108" s="13" t="n">
        <f aca="false">D108*(1+前提!$B$18*I108)</f>
        <v>275.275</v>
      </c>
      <c r="K108" s="17" t="n">
        <f aca="false">D108*E108</f>
        <v>134400</v>
      </c>
      <c r="L108" s="17" t="n">
        <f aca="false">J108*G108</f>
        <v>139564.425</v>
      </c>
      <c r="M108" s="17" t="n">
        <f aca="false">D108*H108</f>
        <v>21224</v>
      </c>
      <c r="N108" s="17" t="n">
        <f aca="false">J108*H108</f>
        <v>20865.845</v>
      </c>
      <c r="O108" s="18" t="n">
        <f aca="false">(L108-N108)-(K108-M108)</f>
        <v>5522.58000000002</v>
      </c>
      <c r="P108" s="4"/>
    </row>
    <row r="109" customFormat="false" ht="15" hidden="false" customHeight="false" outlineLevel="0" collapsed="false">
      <c r="A109" s="4" t="s">
        <v>255</v>
      </c>
      <c r="B109" s="4" t="s">
        <v>255</v>
      </c>
      <c r="C109" s="4" t="s">
        <v>251</v>
      </c>
      <c r="D109" s="7" t="n">
        <v>145</v>
      </c>
      <c r="E109" s="7" t="n">
        <v>780</v>
      </c>
      <c r="F109" s="7" t="n">
        <v>825</v>
      </c>
      <c r="G109" s="7" t="n">
        <v>825</v>
      </c>
      <c r="H109" s="5" t="n">
        <v>366.6</v>
      </c>
      <c r="I109" s="16" t="n">
        <f aca="false">G109/E109-1</f>
        <v>0.0576923076923077</v>
      </c>
      <c r="J109" s="13" t="n">
        <f aca="false">D109*(1+前提!$B$18*I109)</f>
        <v>142.490384615385</v>
      </c>
      <c r="K109" s="17" t="n">
        <f aca="false">D109*E109</f>
        <v>113100</v>
      </c>
      <c r="L109" s="17" t="n">
        <f aca="false">J109*G109</f>
        <v>117554.567307692</v>
      </c>
      <c r="M109" s="17" t="n">
        <f aca="false">D109*H109</f>
        <v>53157</v>
      </c>
      <c r="N109" s="17" t="n">
        <f aca="false">J109*H109</f>
        <v>52236.975</v>
      </c>
      <c r="O109" s="18" t="n">
        <f aca="false">(L109-N109)-(K109-M109)</f>
        <v>5374.59230769231</v>
      </c>
      <c r="P109" s="4"/>
    </row>
    <row r="110" customFormat="false" ht="15" hidden="false" customHeight="false" outlineLevel="0" collapsed="false">
      <c r="A110" s="4" t="s">
        <v>256</v>
      </c>
      <c r="B110" s="4" t="s">
        <v>257</v>
      </c>
      <c r="C110" s="4" t="s">
        <v>251</v>
      </c>
      <c r="D110" s="7" t="n">
        <v>200</v>
      </c>
      <c r="E110" s="7" t="n">
        <v>530</v>
      </c>
      <c r="F110" s="7" t="n">
        <v>557</v>
      </c>
      <c r="G110" s="7" t="n">
        <v>557</v>
      </c>
      <c r="H110" s="5" t="n">
        <v>193.1</v>
      </c>
      <c r="I110" s="16" t="n">
        <f aca="false">G110/E110-1</f>
        <v>0.0509433962264152</v>
      </c>
      <c r="J110" s="13" t="n">
        <f aca="false">D110*(1+前提!$B$18*I110)</f>
        <v>196.943396226415</v>
      </c>
      <c r="K110" s="17" t="n">
        <f aca="false">D110*E110</f>
        <v>106000</v>
      </c>
      <c r="L110" s="17" t="n">
        <f aca="false">J110*G110</f>
        <v>109697.471698113</v>
      </c>
      <c r="M110" s="17" t="n">
        <f aca="false">D110*H110</f>
        <v>38620</v>
      </c>
      <c r="N110" s="17" t="n">
        <f aca="false">J110*H110</f>
        <v>38029.7698113208</v>
      </c>
      <c r="O110" s="18" t="n">
        <f aca="false">(L110-N110)-(K110-M110)</f>
        <v>4287.70188679243</v>
      </c>
      <c r="P110" s="4"/>
    </row>
    <row r="111" customFormat="false" ht="15" hidden="false" customHeight="false" outlineLevel="0" collapsed="false">
      <c r="A111" s="6" t="s">
        <v>258</v>
      </c>
      <c r="B111" s="4" t="s">
        <v>259</v>
      </c>
      <c r="C111" s="4" t="s">
        <v>251</v>
      </c>
      <c r="D111" s="7" t="n">
        <v>50</v>
      </c>
      <c r="E111" s="7" t="n">
        <v>1980</v>
      </c>
      <c r="F111" s="7" t="n">
        <v>2007</v>
      </c>
      <c r="G111" s="7" t="n">
        <v>2007</v>
      </c>
      <c r="H111" s="5" t="n">
        <v>645.3</v>
      </c>
      <c r="I111" s="16" t="n">
        <f aca="false">G111/E111-1</f>
        <v>0.0136363636363637</v>
      </c>
      <c r="J111" s="13" t="n">
        <f aca="false">D111*(1+前提!$B$18*I111)</f>
        <v>49.7954545454545</v>
      </c>
      <c r="K111" s="17" t="n">
        <f aca="false">D111*E111</f>
        <v>99000</v>
      </c>
      <c r="L111" s="17" t="n">
        <f aca="false">J111*G111</f>
        <v>99939.4772727273</v>
      </c>
      <c r="M111" s="17" t="n">
        <f aca="false">D111*H111</f>
        <v>32265</v>
      </c>
      <c r="N111" s="17" t="n">
        <f aca="false">J111*H111</f>
        <v>32133.0068181818</v>
      </c>
      <c r="O111" s="18" t="n">
        <f aca="false">(L111-N111)-(K111-M111)</f>
        <v>1071.47045454546</v>
      </c>
      <c r="P111" s="4"/>
    </row>
    <row r="112" customFormat="false" ht="15" hidden="false" customHeight="false" outlineLevel="0" collapsed="false">
      <c r="A112" s="4" t="s">
        <v>260</v>
      </c>
      <c r="B112" s="4" t="s">
        <v>260</v>
      </c>
      <c r="C112" s="4" t="s">
        <v>251</v>
      </c>
      <c r="D112" s="7" t="n">
        <v>118</v>
      </c>
      <c r="E112" s="7" t="n">
        <v>780</v>
      </c>
      <c r="F112" s="7" t="n">
        <v>825</v>
      </c>
      <c r="G112" s="7" t="n">
        <v>825</v>
      </c>
      <c r="H112" s="5" t="n">
        <v>270.1</v>
      </c>
      <c r="I112" s="16" t="n">
        <f aca="false">G112/E112-1</f>
        <v>0.0576923076923077</v>
      </c>
      <c r="J112" s="13" t="n">
        <f aca="false">D112*(1+前提!$B$18*I112)</f>
        <v>115.957692307692</v>
      </c>
      <c r="K112" s="17" t="n">
        <f aca="false">D112*E112</f>
        <v>92040</v>
      </c>
      <c r="L112" s="17" t="n">
        <f aca="false">J112*G112</f>
        <v>95665.0961538461</v>
      </c>
      <c r="M112" s="17" t="n">
        <f aca="false">D112*H112</f>
        <v>31871.8</v>
      </c>
      <c r="N112" s="17" t="n">
        <f aca="false">J112*H112</f>
        <v>31320.1726923077</v>
      </c>
      <c r="O112" s="18" t="n">
        <f aca="false">(L112-N112)-(K112-M112)</f>
        <v>4176.72346153845</v>
      </c>
      <c r="P112" s="4"/>
    </row>
    <row r="113" customFormat="false" ht="15" hidden="false" customHeight="false" outlineLevel="0" collapsed="false">
      <c r="A113" s="4" t="s">
        <v>261</v>
      </c>
      <c r="B113" s="4" t="s">
        <v>261</v>
      </c>
      <c r="C113" s="4" t="s">
        <v>251</v>
      </c>
      <c r="D113" s="7" t="n">
        <v>163</v>
      </c>
      <c r="E113" s="7" t="n">
        <v>530</v>
      </c>
      <c r="F113" s="7" t="n">
        <v>557</v>
      </c>
      <c r="G113" s="7" t="n">
        <v>557</v>
      </c>
      <c r="H113" s="5" t="n">
        <v>167</v>
      </c>
      <c r="I113" s="16" t="n">
        <f aca="false">G113/E113-1</f>
        <v>0.0509433962264152</v>
      </c>
      <c r="J113" s="13" t="n">
        <f aca="false">D113*(1+前提!$B$18*I113)</f>
        <v>160.508867924528</v>
      </c>
      <c r="K113" s="17" t="n">
        <f aca="false">D113*E113</f>
        <v>86390</v>
      </c>
      <c r="L113" s="17" t="n">
        <f aca="false">J113*G113</f>
        <v>89403.4394339623</v>
      </c>
      <c r="M113" s="17" t="n">
        <f aca="false">D113*H113</f>
        <v>27221</v>
      </c>
      <c r="N113" s="17" t="n">
        <f aca="false">J113*H113</f>
        <v>26804.9809433962</v>
      </c>
      <c r="O113" s="18" t="n">
        <f aca="false">(L113-N113)-(K113-M113)</f>
        <v>3429.45849056603</v>
      </c>
      <c r="P113" s="4"/>
    </row>
    <row r="114" customFormat="false" ht="15" hidden="false" customHeight="false" outlineLevel="0" collapsed="false">
      <c r="A114" s="4" t="s">
        <v>262</v>
      </c>
      <c r="B114" s="4" t="s">
        <v>262</v>
      </c>
      <c r="C114" s="4" t="s">
        <v>251</v>
      </c>
      <c r="D114" s="7" t="n">
        <v>96</v>
      </c>
      <c r="E114" s="7" t="n">
        <v>780</v>
      </c>
      <c r="F114" s="7" t="n">
        <v>825</v>
      </c>
      <c r="G114" s="7" t="n">
        <v>825</v>
      </c>
      <c r="H114" s="5" t="n">
        <v>194.3</v>
      </c>
      <c r="I114" s="16" t="n">
        <f aca="false">G114/E114-1</f>
        <v>0.0576923076923077</v>
      </c>
      <c r="J114" s="13" t="n">
        <f aca="false">D114*(1+前提!$B$18*I114)</f>
        <v>94.3384615384615</v>
      </c>
      <c r="K114" s="17" t="n">
        <f aca="false">D114*E114</f>
        <v>74880</v>
      </c>
      <c r="L114" s="17" t="n">
        <f aca="false">J114*G114</f>
        <v>77829.2307692308</v>
      </c>
      <c r="M114" s="17" t="n">
        <f aca="false">D114*H114</f>
        <v>18652.8</v>
      </c>
      <c r="N114" s="17" t="n">
        <f aca="false">J114*H114</f>
        <v>18329.9630769231</v>
      </c>
      <c r="O114" s="18" t="n">
        <f aca="false">(L114-N114)-(K114-M114)</f>
        <v>3272.0676923077</v>
      </c>
      <c r="P114" s="4"/>
    </row>
    <row r="115" customFormat="false" ht="15" hidden="false" customHeight="false" outlineLevel="0" collapsed="false">
      <c r="A115" s="6" t="s">
        <v>263</v>
      </c>
      <c r="B115" s="4" t="s">
        <v>264</v>
      </c>
      <c r="C115" s="4" t="s">
        <v>251</v>
      </c>
      <c r="D115" s="7" t="n">
        <v>103</v>
      </c>
      <c r="E115" s="7" t="n">
        <v>680</v>
      </c>
      <c r="F115" s="7" t="n">
        <v>707</v>
      </c>
      <c r="G115" s="7" t="n">
        <v>707</v>
      </c>
      <c r="H115" s="5" t="n">
        <v>257.9</v>
      </c>
      <c r="I115" s="16" t="n">
        <f aca="false">G115/E115-1</f>
        <v>0.0397058823529413</v>
      </c>
      <c r="J115" s="13" t="n">
        <f aca="false">D115*(1+前提!$B$18*I115)</f>
        <v>101.773088235294</v>
      </c>
      <c r="K115" s="17" t="n">
        <f aca="false">D115*E115</f>
        <v>70040</v>
      </c>
      <c r="L115" s="17" t="n">
        <f aca="false">J115*G115</f>
        <v>71953.5733823529</v>
      </c>
      <c r="M115" s="17" t="n">
        <f aca="false">D115*H115</f>
        <v>26563.7</v>
      </c>
      <c r="N115" s="17" t="n">
        <f aca="false">J115*H115</f>
        <v>26247.2794558823</v>
      </c>
      <c r="O115" s="18" t="n">
        <f aca="false">(L115-N115)-(K115-M115)</f>
        <v>2229.99392647058</v>
      </c>
      <c r="P115" s="4"/>
    </row>
    <row r="116" customFormat="false" ht="15" hidden="false" customHeight="false" outlineLevel="0" collapsed="false">
      <c r="A116" s="6" t="s">
        <v>265</v>
      </c>
      <c r="B116" s="4" t="s">
        <v>266</v>
      </c>
      <c r="C116" s="4" t="s">
        <v>251</v>
      </c>
      <c r="D116" s="7" t="n">
        <v>34</v>
      </c>
      <c r="E116" s="7" t="n">
        <v>1980</v>
      </c>
      <c r="F116" s="7" t="n">
        <v>2007</v>
      </c>
      <c r="G116" s="7" t="n">
        <v>2007</v>
      </c>
      <c r="H116" s="5" t="n">
        <v>692.1</v>
      </c>
      <c r="I116" s="16" t="n">
        <f aca="false">G116/E116-1</f>
        <v>0.0136363636363637</v>
      </c>
      <c r="J116" s="13" t="n">
        <f aca="false">D116*(1+前提!$B$18*I116)</f>
        <v>33.8609090909091</v>
      </c>
      <c r="K116" s="17" t="n">
        <f aca="false">D116*E116</f>
        <v>67320</v>
      </c>
      <c r="L116" s="17" t="n">
        <f aca="false">J116*G116</f>
        <v>67958.8445454545</v>
      </c>
      <c r="M116" s="17" t="n">
        <f aca="false">D116*H116</f>
        <v>23531.4</v>
      </c>
      <c r="N116" s="17" t="n">
        <f aca="false">J116*H116</f>
        <v>23435.1351818182</v>
      </c>
      <c r="O116" s="18" t="n">
        <f aca="false">(L116-N116)-(K116-M116)</f>
        <v>735.109363636359</v>
      </c>
      <c r="P116" s="4"/>
    </row>
    <row r="117" customFormat="false" ht="15" hidden="false" customHeight="false" outlineLevel="0" collapsed="false">
      <c r="A117" s="4" t="s">
        <v>267</v>
      </c>
      <c r="B117" s="4" t="s">
        <v>267</v>
      </c>
      <c r="C117" s="4" t="s">
        <v>251</v>
      </c>
      <c r="D117" s="7" t="n">
        <v>112</v>
      </c>
      <c r="E117" s="7" t="n">
        <v>580</v>
      </c>
      <c r="F117" s="7" t="n">
        <v>607</v>
      </c>
      <c r="G117" s="7" t="n">
        <v>607</v>
      </c>
      <c r="H117" s="5" t="n">
        <v>173</v>
      </c>
      <c r="I117" s="16" t="n">
        <f aca="false">G117/E117-1</f>
        <v>0.046551724137931</v>
      </c>
      <c r="J117" s="13" t="n">
        <f aca="false">D117*(1+前提!$B$18*I117)</f>
        <v>110.435862068966</v>
      </c>
      <c r="K117" s="17" t="n">
        <f aca="false">D117*E117</f>
        <v>64960</v>
      </c>
      <c r="L117" s="17" t="n">
        <f aca="false">J117*G117</f>
        <v>67034.5682758621</v>
      </c>
      <c r="M117" s="17" t="n">
        <f aca="false">D117*H117</f>
        <v>19376</v>
      </c>
      <c r="N117" s="17" t="n">
        <f aca="false">J117*H117</f>
        <v>19105.404137931</v>
      </c>
      <c r="O117" s="18" t="n">
        <f aca="false">(L117-N117)-(K117-M117)</f>
        <v>2345.16413793103</v>
      </c>
      <c r="P117" s="4"/>
    </row>
    <row r="118" customFormat="false" ht="15" hidden="false" customHeight="false" outlineLevel="0" collapsed="false">
      <c r="A118" s="6" t="s">
        <v>268</v>
      </c>
      <c r="B118" s="4" t="s">
        <v>269</v>
      </c>
      <c r="C118" s="4" t="s">
        <v>251</v>
      </c>
      <c r="D118" s="7" t="n">
        <v>142</v>
      </c>
      <c r="E118" s="7" t="n">
        <v>430</v>
      </c>
      <c r="F118" s="7" t="n">
        <v>457</v>
      </c>
      <c r="G118" s="7" t="n">
        <v>457</v>
      </c>
      <c r="H118" s="5" t="n">
        <v>77.6</v>
      </c>
      <c r="I118" s="16" t="n">
        <f aca="false">G118/E118-1</f>
        <v>0.0627906976744186</v>
      </c>
      <c r="J118" s="13" t="n">
        <f aca="false">D118*(1+前提!$B$18*I118)</f>
        <v>139.32511627907</v>
      </c>
      <c r="K118" s="17" t="n">
        <f aca="false">D118*E118</f>
        <v>61060</v>
      </c>
      <c r="L118" s="17" t="n">
        <f aca="false">J118*G118</f>
        <v>63671.5781395349</v>
      </c>
      <c r="M118" s="17" t="n">
        <f aca="false">D118*H118</f>
        <v>11019.2</v>
      </c>
      <c r="N118" s="17" t="n">
        <f aca="false">J118*H118</f>
        <v>10811.6290232558</v>
      </c>
      <c r="O118" s="18" t="n">
        <f aca="false">(L118-N118)-(K118-M118)</f>
        <v>2819.14911627906</v>
      </c>
      <c r="P118" s="4"/>
    </row>
    <row r="119" customFormat="false" ht="15" hidden="false" customHeight="false" outlineLevel="0" collapsed="false">
      <c r="A119" s="4" t="s">
        <v>270</v>
      </c>
      <c r="B119" s="4" t="s">
        <v>270</v>
      </c>
      <c r="C119" s="4" t="s">
        <v>251</v>
      </c>
      <c r="D119" s="7" t="n">
        <v>103</v>
      </c>
      <c r="E119" s="7" t="n">
        <v>580</v>
      </c>
      <c r="F119" s="7" t="n">
        <v>607</v>
      </c>
      <c r="G119" s="7" t="n">
        <v>607</v>
      </c>
      <c r="H119" s="5" t="n">
        <v>208.3</v>
      </c>
      <c r="I119" s="16" t="n">
        <f aca="false">G119/E119-1</f>
        <v>0.046551724137931</v>
      </c>
      <c r="J119" s="13" t="n">
        <f aca="false">D119*(1+前提!$B$18*I119)</f>
        <v>101.561551724138</v>
      </c>
      <c r="K119" s="17" t="n">
        <f aca="false">D119*E119</f>
        <v>59740</v>
      </c>
      <c r="L119" s="17" t="n">
        <f aca="false">J119*G119</f>
        <v>61647.8618965517</v>
      </c>
      <c r="M119" s="17" t="n">
        <f aca="false">D119*H119</f>
        <v>21454.9</v>
      </c>
      <c r="N119" s="17" t="n">
        <f aca="false">J119*H119</f>
        <v>21155.2712241379</v>
      </c>
      <c r="O119" s="18" t="n">
        <f aca="false">(L119-N119)-(K119-M119)</f>
        <v>2207.49067241379</v>
      </c>
      <c r="P119" s="4"/>
    </row>
    <row r="120" customFormat="false" ht="15" hidden="false" customHeight="false" outlineLevel="0" collapsed="false">
      <c r="A120" s="6" t="s">
        <v>271</v>
      </c>
      <c r="B120" s="4" t="s">
        <v>272</v>
      </c>
      <c r="C120" s="4" t="s">
        <v>251</v>
      </c>
      <c r="D120" s="7" t="n">
        <v>73</v>
      </c>
      <c r="E120" s="7" t="n">
        <v>780</v>
      </c>
      <c r="F120" s="7" t="n">
        <v>807</v>
      </c>
      <c r="G120" s="7" t="n">
        <v>807</v>
      </c>
      <c r="H120" s="5" t="n">
        <v>344.2</v>
      </c>
      <c r="I120" s="16" t="n">
        <f aca="false">G120/E120-1</f>
        <v>0.0346153846153847</v>
      </c>
      <c r="J120" s="13" t="n">
        <f aca="false">D120*(1+前提!$B$18*I120)</f>
        <v>72.2419230769231</v>
      </c>
      <c r="K120" s="17" t="n">
        <f aca="false">D120*E120</f>
        <v>56940</v>
      </c>
      <c r="L120" s="17" t="n">
        <f aca="false">J120*G120</f>
        <v>58299.2319230769</v>
      </c>
      <c r="M120" s="17" t="n">
        <f aca="false">D120*H120</f>
        <v>25126.6</v>
      </c>
      <c r="N120" s="17" t="n">
        <f aca="false">J120*H120</f>
        <v>24865.6699230769</v>
      </c>
      <c r="O120" s="18" t="n">
        <f aca="false">(L120-N120)-(K120-M120)</f>
        <v>1620.162</v>
      </c>
      <c r="P120" s="4"/>
    </row>
    <row r="121" customFormat="false" ht="15" hidden="false" customHeight="false" outlineLevel="0" collapsed="false">
      <c r="A121" s="4" t="s">
        <v>273</v>
      </c>
      <c r="B121" s="4" t="s">
        <v>273</v>
      </c>
      <c r="C121" s="4" t="s">
        <v>251</v>
      </c>
      <c r="D121" s="7" t="n">
        <v>106</v>
      </c>
      <c r="E121" s="7" t="n">
        <v>530</v>
      </c>
      <c r="F121" s="7" t="n">
        <v>557</v>
      </c>
      <c r="G121" s="7" t="n">
        <v>557</v>
      </c>
      <c r="H121" s="5" t="n">
        <v>220.9</v>
      </c>
      <c r="I121" s="16" t="n">
        <f aca="false">G121/E121-1</f>
        <v>0.0509433962264152</v>
      </c>
      <c r="J121" s="13" t="n">
        <f aca="false">D121*(1+前提!$B$18*I121)</f>
        <v>104.38</v>
      </c>
      <c r="K121" s="17" t="n">
        <f aca="false">D121*E121</f>
        <v>56180</v>
      </c>
      <c r="L121" s="17" t="n">
        <f aca="false">J121*G121</f>
        <v>58139.66</v>
      </c>
      <c r="M121" s="17" t="n">
        <f aca="false">D121*H121</f>
        <v>23415.4</v>
      </c>
      <c r="N121" s="17" t="n">
        <f aca="false">J121*H121</f>
        <v>23057.542</v>
      </c>
      <c r="O121" s="18" t="n">
        <f aca="false">(L121-N121)-(K121-M121)</f>
        <v>2317.518</v>
      </c>
      <c r="P121" s="4"/>
    </row>
    <row r="122" customFormat="false" ht="15" hidden="false" customHeight="false" outlineLevel="0" collapsed="false">
      <c r="A122" s="6" t="s">
        <v>274</v>
      </c>
      <c r="B122" s="4" t="s">
        <v>275</v>
      </c>
      <c r="C122" s="4" t="s">
        <v>251</v>
      </c>
      <c r="D122" s="7" t="n">
        <v>92</v>
      </c>
      <c r="E122" s="7" t="n">
        <v>580</v>
      </c>
      <c r="F122" s="7" t="n">
        <v>607</v>
      </c>
      <c r="G122" s="7" t="n">
        <v>607</v>
      </c>
      <c r="H122" s="5" t="n">
        <v>214.4</v>
      </c>
      <c r="I122" s="16" t="n">
        <f aca="false">G122/E122-1</f>
        <v>0.046551724137931</v>
      </c>
      <c r="J122" s="13" t="n">
        <f aca="false">D122*(1+前提!$B$18*I122)</f>
        <v>90.7151724137931</v>
      </c>
      <c r="K122" s="17" t="n">
        <f aca="false">D122*E122</f>
        <v>53360</v>
      </c>
      <c r="L122" s="17" t="n">
        <f aca="false">J122*G122</f>
        <v>55064.1096551724</v>
      </c>
      <c r="M122" s="17" t="n">
        <f aca="false">D122*H122</f>
        <v>19724.8</v>
      </c>
      <c r="N122" s="17" t="n">
        <f aca="false">J122*H122</f>
        <v>19449.3329655172</v>
      </c>
      <c r="O122" s="18" t="n">
        <f aca="false">(L122-N122)-(K122-M122)</f>
        <v>1979.57668965518</v>
      </c>
      <c r="P122" s="4"/>
    </row>
    <row r="123" customFormat="false" ht="15" hidden="false" customHeight="false" outlineLevel="0" collapsed="false">
      <c r="A123" s="6" t="s">
        <v>276</v>
      </c>
      <c r="B123" s="6" t="s">
        <v>277</v>
      </c>
      <c r="C123" s="4" t="s">
        <v>251</v>
      </c>
      <c r="D123" s="7" t="n">
        <v>76</v>
      </c>
      <c r="E123" s="7" t="n">
        <v>530</v>
      </c>
      <c r="F123" s="7" t="n">
        <v>557</v>
      </c>
      <c r="G123" s="7" t="n">
        <v>557</v>
      </c>
      <c r="H123" s="5" t="n">
        <v>172.2</v>
      </c>
      <c r="I123" s="16" t="n">
        <f aca="false">G123/E123-1</f>
        <v>0.0509433962264152</v>
      </c>
      <c r="J123" s="13" t="n">
        <f aca="false">D123*(1+前提!$B$18*I123)</f>
        <v>74.8384905660377</v>
      </c>
      <c r="K123" s="17" t="n">
        <f aca="false">D123*E123</f>
        <v>40280</v>
      </c>
      <c r="L123" s="17" t="n">
        <f aca="false">J123*G123</f>
        <v>41685.039245283</v>
      </c>
      <c r="M123" s="17" t="n">
        <f aca="false">D123*H123</f>
        <v>13087.2</v>
      </c>
      <c r="N123" s="17" t="n">
        <f aca="false">J123*H123</f>
        <v>12887.1880754717</v>
      </c>
      <c r="O123" s="18" t="n">
        <f aca="false">(L123-N123)-(K123-M123)</f>
        <v>1605.05116981132</v>
      </c>
      <c r="P123" s="4"/>
    </row>
    <row r="124" customFormat="false" ht="15" hidden="false" customHeight="false" outlineLevel="0" collapsed="false">
      <c r="A124" s="4" t="s">
        <v>278</v>
      </c>
      <c r="B124" s="4" t="s">
        <v>278</v>
      </c>
      <c r="C124" s="4" t="s">
        <v>251</v>
      </c>
      <c r="D124" s="7" t="n">
        <v>45</v>
      </c>
      <c r="E124" s="7" t="n">
        <v>880</v>
      </c>
      <c r="F124" s="7" t="n">
        <v>907</v>
      </c>
      <c r="G124" s="7" t="n">
        <v>907</v>
      </c>
      <c r="H124" s="5" t="n">
        <v>390.3</v>
      </c>
      <c r="I124" s="16" t="n">
        <f aca="false">G124/E124-1</f>
        <v>0.0306818181818183</v>
      </c>
      <c r="J124" s="13" t="n">
        <f aca="false">D124*(1+前提!$B$18*I124)</f>
        <v>44.5857954545455</v>
      </c>
      <c r="K124" s="17" t="n">
        <f aca="false">D124*E124</f>
        <v>39600</v>
      </c>
      <c r="L124" s="17" t="n">
        <f aca="false">J124*G124</f>
        <v>40439.3164772727</v>
      </c>
      <c r="M124" s="17" t="n">
        <f aca="false">D124*H124</f>
        <v>17563.5</v>
      </c>
      <c r="N124" s="17" t="n">
        <f aca="false">J124*H124</f>
        <v>17401.8359659091</v>
      </c>
      <c r="O124" s="18" t="n">
        <f aca="false">(L124-N124)-(K124-M124)</f>
        <v>1000.98051136363</v>
      </c>
      <c r="P124" s="4"/>
    </row>
    <row r="125" customFormat="false" ht="15" hidden="false" customHeight="false" outlineLevel="0" collapsed="false">
      <c r="A125" s="4" t="s">
        <v>279</v>
      </c>
      <c r="B125" s="4" t="s">
        <v>279</v>
      </c>
      <c r="C125" s="4" t="s">
        <v>251</v>
      </c>
      <c r="D125" s="7" t="n">
        <v>103</v>
      </c>
      <c r="E125" s="7" t="n">
        <v>380</v>
      </c>
      <c r="F125" s="7" t="n">
        <v>407</v>
      </c>
      <c r="G125" s="7" t="n">
        <v>407</v>
      </c>
      <c r="H125" s="5" t="n">
        <v>88.1</v>
      </c>
      <c r="I125" s="16" t="n">
        <f aca="false">G125/E125-1</f>
        <v>0.0710526315789475</v>
      </c>
      <c r="J125" s="13" t="n">
        <f aca="false">D125*(1+前提!$B$18*I125)</f>
        <v>100.804473684211</v>
      </c>
      <c r="K125" s="17" t="n">
        <f aca="false">D125*E125</f>
        <v>39140</v>
      </c>
      <c r="L125" s="17" t="n">
        <f aca="false">J125*G125</f>
        <v>41027.4207894737</v>
      </c>
      <c r="M125" s="17" t="n">
        <f aca="false">D125*H125</f>
        <v>9074.3</v>
      </c>
      <c r="N125" s="17" t="n">
        <f aca="false">J125*H125</f>
        <v>8880.87413157895</v>
      </c>
      <c r="O125" s="18" t="n">
        <f aca="false">(L125-N125)-(K125-M125)</f>
        <v>2080.84665789474</v>
      </c>
      <c r="P125" s="4"/>
    </row>
    <row r="126" customFormat="false" ht="15" hidden="false" customHeight="false" outlineLevel="0" collapsed="false">
      <c r="A126" s="6" t="s">
        <v>280</v>
      </c>
      <c r="B126" s="4" t="s">
        <v>281</v>
      </c>
      <c r="C126" s="4" t="s">
        <v>251</v>
      </c>
      <c r="D126" s="7" t="n">
        <v>58</v>
      </c>
      <c r="E126" s="7" t="n">
        <v>580</v>
      </c>
      <c r="F126" s="7" t="n">
        <v>625</v>
      </c>
      <c r="G126" s="7" t="n">
        <v>625</v>
      </c>
      <c r="H126" s="5" t="n">
        <v>189.8</v>
      </c>
      <c r="I126" s="16" t="n">
        <f aca="false">G126/E126-1</f>
        <v>0.0775862068965518</v>
      </c>
      <c r="J126" s="13" t="n">
        <f aca="false">D126*(1+前提!$B$18*I126)</f>
        <v>56.65</v>
      </c>
      <c r="K126" s="17" t="n">
        <f aca="false">D126*E126</f>
        <v>33640</v>
      </c>
      <c r="L126" s="17" t="n">
        <f aca="false">J126*G126</f>
        <v>35406.25</v>
      </c>
      <c r="M126" s="17" t="n">
        <f aca="false">D126*H126</f>
        <v>11008.4</v>
      </c>
      <c r="N126" s="17" t="n">
        <f aca="false">J126*H126</f>
        <v>10752.17</v>
      </c>
      <c r="O126" s="18" t="n">
        <f aca="false">(L126-N126)-(K126-M126)</f>
        <v>2022.48</v>
      </c>
      <c r="P126" s="4"/>
    </row>
    <row r="127" customFormat="false" ht="15" hidden="false" customHeight="false" outlineLevel="0" collapsed="false">
      <c r="A127" s="4" t="s">
        <v>282</v>
      </c>
      <c r="B127" s="4" t="s">
        <v>282</v>
      </c>
      <c r="C127" s="4" t="s">
        <v>251</v>
      </c>
      <c r="D127" s="7" t="n">
        <v>44</v>
      </c>
      <c r="E127" s="7" t="n">
        <v>780</v>
      </c>
      <c r="F127" s="7" t="n">
        <v>825</v>
      </c>
      <c r="G127" s="7" t="n">
        <v>825</v>
      </c>
      <c r="H127" s="5" t="n">
        <v>267.3</v>
      </c>
      <c r="I127" s="16" t="n">
        <f aca="false">G127/E127-1</f>
        <v>0.0576923076923077</v>
      </c>
      <c r="J127" s="13" t="n">
        <f aca="false">D127*(1+前提!$B$18*I127)</f>
        <v>43.2384615384615</v>
      </c>
      <c r="K127" s="17" t="n">
        <f aca="false">D127*E127</f>
        <v>34320</v>
      </c>
      <c r="L127" s="17" t="n">
        <f aca="false">J127*G127</f>
        <v>35671.7307692308</v>
      </c>
      <c r="M127" s="17" t="n">
        <f aca="false">D127*H127</f>
        <v>11761.2</v>
      </c>
      <c r="N127" s="17" t="n">
        <f aca="false">J127*H127</f>
        <v>11557.6407692308</v>
      </c>
      <c r="O127" s="18" t="n">
        <f aca="false">(L127-N127)-(K127-M127)</f>
        <v>1555.29</v>
      </c>
      <c r="P127" s="4"/>
    </row>
    <row r="128" customFormat="false" ht="15" hidden="false" customHeight="false" outlineLevel="0" collapsed="false">
      <c r="A128" s="4" t="s">
        <v>283</v>
      </c>
      <c r="B128" s="4" t="s">
        <v>284</v>
      </c>
      <c r="C128" s="4" t="s">
        <v>251</v>
      </c>
      <c r="D128" s="7" t="n">
        <v>67</v>
      </c>
      <c r="E128" s="7" t="n">
        <v>480</v>
      </c>
      <c r="F128" s="7" t="n">
        <v>507</v>
      </c>
      <c r="G128" s="7" t="n">
        <v>507</v>
      </c>
      <c r="H128" s="5" t="n">
        <v>165.2</v>
      </c>
      <c r="I128" s="16" t="n">
        <f aca="false">G128/E128-1</f>
        <v>0.0562499999999999</v>
      </c>
      <c r="J128" s="13" t="n">
        <f aca="false">D128*(1+前提!$B$18*I128)</f>
        <v>65.869375</v>
      </c>
      <c r="K128" s="17" t="n">
        <f aca="false">D128*E128</f>
        <v>32160</v>
      </c>
      <c r="L128" s="17" t="n">
        <f aca="false">J128*G128</f>
        <v>33395.773125</v>
      </c>
      <c r="M128" s="17" t="n">
        <f aca="false">D128*H128</f>
        <v>11068.4</v>
      </c>
      <c r="N128" s="17" t="n">
        <f aca="false">J128*H128</f>
        <v>10881.62075</v>
      </c>
      <c r="O128" s="18" t="n">
        <f aca="false">(L128-N128)-(K128-M128)</f>
        <v>1422.552375</v>
      </c>
      <c r="P128" s="4"/>
    </row>
    <row r="129" customFormat="false" ht="15" hidden="false" customHeight="false" outlineLevel="0" collapsed="false">
      <c r="A129" s="6" t="s">
        <v>285</v>
      </c>
      <c r="B129" s="4" t="s">
        <v>286</v>
      </c>
      <c r="C129" s="4" t="s">
        <v>251</v>
      </c>
      <c r="D129" s="7" t="n">
        <v>46</v>
      </c>
      <c r="E129" s="7" t="n">
        <v>680</v>
      </c>
      <c r="F129" s="7" t="n">
        <v>707</v>
      </c>
      <c r="G129" s="7" t="n">
        <v>707</v>
      </c>
      <c r="H129" s="5" t="n">
        <v>177.3</v>
      </c>
      <c r="I129" s="16" t="n">
        <f aca="false">G129/E129-1</f>
        <v>0.0397058823529413</v>
      </c>
      <c r="J129" s="13" t="n">
        <f aca="false">D129*(1+前提!$B$18*I129)</f>
        <v>45.4520588235294</v>
      </c>
      <c r="K129" s="17" t="n">
        <f aca="false">D129*E129</f>
        <v>31280</v>
      </c>
      <c r="L129" s="17" t="n">
        <f aca="false">J129*G129</f>
        <v>32134.6055882353</v>
      </c>
      <c r="M129" s="17" t="n">
        <f aca="false">D129*H129</f>
        <v>8155.8</v>
      </c>
      <c r="N129" s="17" t="n">
        <f aca="false">J129*H129</f>
        <v>8058.65002941177</v>
      </c>
      <c r="O129" s="18" t="n">
        <f aca="false">(L129-N129)-(K129-M129)</f>
        <v>951.75555882353</v>
      </c>
      <c r="P129" s="4"/>
    </row>
    <row r="130" customFormat="false" ht="15" hidden="false" customHeight="false" outlineLevel="0" collapsed="false">
      <c r="A130" s="6" t="s">
        <v>287</v>
      </c>
      <c r="B130" s="4" t="s">
        <v>288</v>
      </c>
      <c r="C130" s="4" t="s">
        <v>251</v>
      </c>
      <c r="D130" s="7" t="n">
        <v>46</v>
      </c>
      <c r="E130" s="7" t="n">
        <v>580</v>
      </c>
      <c r="F130" s="7" t="n">
        <v>607</v>
      </c>
      <c r="G130" s="7" t="n">
        <v>607</v>
      </c>
      <c r="H130" s="5" t="n">
        <v>373.2</v>
      </c>
      <c r="I130" s="16" t="n">
        <f aca="false">G130/E130-1</f>
        <v>0.046551724137931</v>
      </c>
      <c r="J130" s="13" t="n">
        <f aca="false">D130*(1+前提!$B$18*I130)</f>
        <v>45.3575862068966</v>
      </c>
      <c r="K130" s="17" t="n">
        <f aca="false">D130*E130</f>
        <v>26680</v>
      </c>
      <c r="L130" s="17" t="n">
        <f aca="false">J130*G130</f>
        <v>27532.0548275862</v>
      </c>
      <c r="M130" s="17" t="n">
        <f aca="false">D130*H130</f>
        <v>17167.2</v>
      </c>
      <c r="N130" s="17" t="n">
        <f aca="false">J130*H130</f>
        <v>16927.4511724138</v>
      </c>
      <c r="O130" s="18" t="n">
        <f aca="false">(L130-N130)-(K130-M130)</f>
        <v>1091.80365517241</v>
      </c>
      <c r="P130" s="4"/>
    </row>
    <row r="131" customFormat="false" ht="15" hidden="false" customHeight="false" outlineLevel="0" collapsed="false">
      <c r="A131" s="4" t="s">
        <v>289</v>
      </c>
      <c r="B131" s="4" t="s">
        <v>289</v>
      </c>
      <c r="C131" s="4" t="s">
        <v>251</v>
      </c>
      <c r="D131" s="7" t="n">
        <v>34</v>
      </c>
      <c r="E131" s="7" t="n">
        <v>780</v>
      </c>
      <c r="F131" s="7" t="n">
        <v>807</v>
      </c>
      <c r="G131" s="7" t="n">
        <v>807</v>
      </c>
      <c r="H131" s="5" t="n">
        <v>238.4</v>
      </c>
      <c r="I131" s="16" t="n">
        <f aca="false">G131/E131-1</f>
        <v>0.0346153846153847</v>
      </c>
      <c r="J131" s="13" t="n">
        <f aca="false">D131*(1+前提!$B$18*I131)</f>
        <v>33.6469230769231</v>
      </c>
      <c r="K131" s="17" t="n">
        <f aca="false">D131*E131</f>
        <v>26520</v>
      </c>
      <c r="L131" s="17" t="n">
        <f aca="false">J131*G131</f>
        <v>27153.0669230769</v>
      </c>
      <c r="M131" s="17" t="n">
        <f aca="false">D131*H131</f>
        <v>8105.6</v>
      </c>
      <c r="N131" s="17" t="n">
        <f aca="false">J131*H131</f>
        <v>8021.42646153846</v>
      </c>
      <c r="O131" s="18" t="n">
        <f aca="false">(L131-N131)-(K131-M131)</f>
        <v>717.240461538459</v>
      </c>
      <c r="P131" s="4"/>
    </row>
    <row r="132" customFormat="false" ht="15" hidden="false" customHeight="false" outlineLevel="0" collapsed="false">
      <c r="A132" s="6" t="s">
        <v>290</v>
      </c>
      <c r="B132" s="4" t="s">
        <v>291</v>
      </c>
      <c r="C132" s="4" t="s">
        <v>251</v>
      </c>
      <c r="D132" s="7" t="n">
        <v>55</v>
      </c>
      <c r="E132" s="7" t="n">
        <v>380</v>
      </c>
      <c r="F132" s="7" t="n">
        <v>407</v>
      </c>
      <c r="G132" s="7" t="n">
        <v>407</v>
      </c>
      <c r="H132" s="5" t="n">
        <v>167.4</v>
      </c>
      <c r="I132" s="16" t="n">
        <f aca="false">G132/E132-1</f>
        <v>0.0710526315789475</v>
      </c>
      <c r="J132" s="13" t="n">
        <f aca="false">D132*(1+前提!$B$18*I132)</f>
        <v>53.8276315789474</v>
      </c>
      <c r="K132" s="17" t="n">
        <f aca="false">D132*E132</f>
        <v>20900</v>
      </c>
      <c r="L132" s="17" t="n">
        <f aca="false">J132*G132</f>
        <v>21907.8460526316</v>
      </c>
      <c r="M132" s="17" t="n">
        <f aca="false">D132*H132</f>
        <v>9207</v>
      </c>
      <c r="N132" s="17" t="n">
        <f aca="false">J132*H132</f>
        <v>9010.74552631579</v>
      </c>
      <c r="O132" s="18" t="n">
        <f aca="false">(L132-N132)-(K132-M132)</f>
        <v>1204.10052631579</v>
      </c>
      <c r="P132" s="4"/>
    </row>
    <row r="133" customFormat="false" ht="15" hidden="false" customHeight="false" outlineLevel="0" collapsed="false">
      <c r="A133" s="6" t="s">
        <v>292</v>
      </c>
      <c r="B133" s="4" t="s">
        <v>293</v>
      </c>
      <c r="C133" s="4" t="s">
        <v>251</v>
      </c>
      <c r="D133" s="7" t="n">
        <v>34</v>
      </c>
      <c r="E133" s="7" t="n">
        <v>580</v>
      </c>
      <c r="F133" s="7" t="n">
        <v>625</v>
      </c>
      <c r="G133" s="7" t="n">
        <v>625</v>
      </c>
      <c r="H133" s="5" t="n">
        <v>211.4</v>
      </c>
      <c r="I133" s="16" t="n">
        <f aca="false">G133/E133-1</f>
        <v>0.0775862068965518</v>
      </c>
      <c r="J133" s="13" t="n">
        <f aca="false">D133*(1+前提!$B$18*I133)</f>
        <v>33.2086206896552</v>
      </c>
      <c r="K133" s="17" t="n">
        <f aca="false">D133*E133</f>
        <v>19720</v>
      </c>
      <c r="L133" s="17" t="n">
        <f aca="false">J133*G133</f>
        <v>20755.3879310345</v>
      </c>
      <c r="M133" s="17" t="n">
        <f aca="false">D133*H133</f>
        <v>7187.6</v>
      </c>
      <c r="N133" s="17" t="n">
        <f aca="false">J133*H133</f>
        <v>7020.3024137931</v>
      </c>
      <c r="O133" s="18" t="n">
        <f aca="false">(L133-N133)-(K133-M133)</f>
        <v>1202.68551724138</v>
      </c>
      <c r="P133" s="4"/>
    </row>
    <row r="134" customFormat="false" ht="15" hidden="false" customHeight="false" outlineLevel="0" collapsed="false">
      <c r="A134" s="4" t="s">
        <v>294</v>
      </c>
      <c r="B134" s="4" t="s">
        <v>294</v>
      </c>
      <c r="C134" s="4" t="s">
        <v>251</v>
      </c>
      <c r="D134" s="7" t="n">
        <v>39</v>
      </c>
      <c r="E134" s="7" t="n">
        <v>530</v>
      </c>
      <c r="F134" s="7" t="n">
        <v>557</v>
      </c>
      <c r="G134" s="7" t="n">
        <v>557</v>
      </c>
      <c r="H134" s="5" t="n">
        <v>160.3</v>
      </c>
      <c r="I134" s="16" t="n">
        <f aca="false">G134/E134-1</f>
        <v>0.0509433962264152</v>
      </c>
      <c r="J134" s="13" t="n">
        <f aca="false">D134*(1+前提!$B$18*I134)</f>
        <v>38.4039622641509</v>
      </c>
      <c r="K134" s="17" t="n">
        <f aca="false">D134*E134</f>
        <v>20670</v>
      </c>
      <c r="L134" s="17" t="n">
        <f aca="false">J134*G134</f>
        <v>21391.0069811321</v>
      </c>
      <c r="M134" s="17" t="n">
        <f aca="false">D134*H134</f>
        <v>6251.7</v>
      </c>
      <c r="N134" s="17" t="n">
        <f aca="false">J134*H134</f>
        <v>6156.1551509434</v>
      </c>
      <c r="O134" s="18" t="n">
        <f aca="false">(L134-N134)-(K134-M134)</f>
        <v>816.551830188681</v>
      </c>
      <c r="P134" s="4"/>
    </row>
    <row r="135" customFormat="false" ht="15" hidden="false" customHeight="false" outlineLevel="0" collapsed="false">
      <c r="A135" s="4" t="s">
        <v>295</v>
      </c>
      <c r="B135" s="4" t="s">
        <v>295</v>
      </c>
      <c r="C135" s="4" t="s">
        <v>251</v>
      </c>
      <c r="D135" s="7" t="n">
        <v>24</v>
      </c>
      <c r="E135" s="7" t="n">
        <v>680</v>
      </c>
      <c r="F135" s="7" t="n">
        <v>707</v>
      </c>
      <c r="G135" s="7" t="n">
        <v>707</v>
      </c>
      <c r="H135" s="5" t="n">
        <v>304</v>
      </c>
      <c r="I135" s="16" t="n">
        <f aca="false">G135/E135-1</f>
        <v>0.0397058823529413</v>
      </c>
      <c r="J135" s="13" t="n">
        <f aca="false">D135*(1+前提!$B$18*I135)</f>
        <v>23.7141176470588</v>
      </c>
      <c r="K135" s="17" t="n">
        <f aca="false">D135*E135</f>
        <v>16320</v>
      </c>
      <c r="L135" s="17" t="n">
        <f aca="false">J135*G135</f>
        <v>16765.8811764706</v>
      </c>
      <c r="M135" s="17" t="n">
        <f aca="false">D135*H135</f>
        <v>7296</v>
      </c>
      <c r="N135" s="17" t="n">
        <f aca="false">J135*H135</f>
        <v>7209.09176470588</v>
      </c>
      <c r="O135" s="18" t="n">
        <f aca="false">(L135-N135)-(K135-M135)</f>
        <v>532.789411764705</v>
      </c>
      <c r="P135" s="4"/>
    </row>
    <row r="136" customFormat="false" ht="15" hidden="false" customHeight="false" outlineLevel="0" collapsed="false">
      <c r="A136" s="6" t="s">
        <v>296</v>
      </c>
      <c r="B136" s="4" t="s">
        <v>297</v>
      </c>
      <c r="C136" s="4" t="s">
        <v>251</v>
      </c>
      <c r="D136" s="7" t="n">
        <v>22</v>
      </c>
      <c r="E136" s="7" t="n">
        <v>580</v>
      </c>
      <c r="F136" s="7" t="n">
        <v>625</v>
      </c>
      <c r="G136" s="7" t="n">
        <v>625</v>
      </c>
      <c r="H136" s="5" t="n">
        <v>186.2</v>
      </c>
      <c r="I136" s="16" t="n">
        <f aca="false">G136/E136-1</f>
        <v>0.0775862068965518</v>
      </c>
      <c r="J136" s="13" t="n">
        <f aca="false">D136*(1+前提!$B$18*I136)</f>
        <v>21.4879310344828</v>
      </c>
      <c r="K136" s="17" t="n">
        <f aca="false">D136*E136</f>
        <v>12760</v>
      </c>
      <c r="L136" s="17" t="n">
        <f aca="false">J136*G136</f>
        <v>13429.9568965517</v>
      </c>
      <c r="M136" s="17" t="n">
        <f aca="false">D136*H136</f>
        <v>4096.4</v>
      </c>
      <c r="N136" s="17" t="n">
        <f aca="false">J136*H136</f>
        <v>4001.05275862069</v>
      </c>
      <c r="O136" s="18" t="n">
        <f aca="false">(L136-N136)-(K136-M136)</f>
        <v>765.304137931033</v>
      </c>
      <c r="P136" s="4"/>
    </row>
    <row r="137" customFormat="false" ht="15" hidden="false" customHeight="false" outlineLevel="0" collapsed="false">
      <c r="A137" s="6" t="s">
        <v>298</v>
      </c>
      <c r="B137" s="4" t="s">
        <v>299</v>
      </c>
      <c r="C137" s="4" t="s">
        <v>251</v>
      </c>
      <c r="D137" s="7" t="n">
        <v>16</v>
      </c>
      <c r="E137" s="7" t="n">
        <v>580</v>
      </c>
      <c r="F137" s="7" t="n">
        <v>625</v>
      </c>
      <c r="G137" s="7" t="n">
        <v>625</v>
      </c>
      <c r="H137" s="5" t="n">
        <v>183.8</v>
      </c>
      <c r="I137" s="16" t="n">
        <f aca="false">G137/E137-1</f>
        <v>0.0775862068965518</v>
      </c>
      <c r="J137" s="13" t="n">
        <f aca="false">D137*(1+前提!$B$18*I137)</f>
        <v>15.6275862068966</v>
      </c>
      <c r="K137" s="17" t="n">
        <f aca="false">D137*E137</f>
        <v>9280</v>
      </c>
      <c r="L137" s="17" t="n">
        <f aca="false">J137*G137</f>
        <v>9767.24137931034</v>
      </c>
      <c r="M137" s="17" t="n">
        <f aca="false">D137*H137</f>
        <v>2940.8</v>
      </c>
      <c r="N137" s="17" t="n">
        <f aca="false">J137*H137</f>
        <v>2872.35034482759</v>
      </c>
      <c r="O137" s="18" t="n">
        <f aca="false">(L137-N137)-(K137-M137)</f>
        <v>555.691034482758</v>
      </c>
      <c r="P137" s="4"/>
    </row>
    <row r="138" customFormat="false" ht="15" hidden="false" customHeight="false" outlineLevel="0" collapsed="false">
      <c r="A138" s="4" t="s">
        <v>300</v>
      </c>
      <c r="B138" s="4" t="s">
        <v>300</v>
      </c>
      <c r="C138" s="4" t="s">
        <v>251</v>
      </c>
      <c r="D138" s="7" t="n">
        <v>21</v>
      </c>
      <c r="E138" s="7" t="n">
        <v>380</v>
      </c>
      <c r="F138" s="7" t="n">
        <v>407</v>
      </c>
      <c r="G138" s="7" t="n">
        <v>407</v>
      </c>
      <c r="H138" s="5" t="n">
        <v>111.6</v>
      </c>
      <c r="I138" s="16" t="n">
        <f aca="false">G138/E138-1</f>
        <v>0.0710526315789475</v>
      </c>
      <c r="J138" s="13" t="n">
        <f aca="false">D138*(1+前提!$B$18*I138)</f>
        <v>20.5523684210526</v>
      </c>
      <c r="K138" s="17" t="n">
        <f aca="false">D138*E138</f>
        <v>7980</v>
      </c>
      <c r="L138" s="17" t="n">
        <f aca="false">J138*G138</f>
        <v>8364.81394736842</v>
      </c>
      <c r="M138" s="17" t="n">
        <f aca="false">D138*H138</f>
        <v>2343.6</v>
      </c>
      <c r="N138" s="17" t="n">
        <f aca="false">J138*H138</f>
        <v>2293.64431578947</v>
      </c>
      <c r="O138" s="18" t="n">
        <f aca="false">(L138-N138)-(K138-M138)</f>
        <v>434.769631578947</v>
      </c>
      <c r="P138" s="4"/>
    </row>
    <row r="139" customFormat="false" ht="15" hidden="false" customHeight="false" outlineLevel="0" collapsed="false">
      <c r="A139" s="4" t="s">
        <v>301</v>
      </c>
      <c r="B139" s="4" t="s">
        <v>301</v>
      </c>
      <c r="C139" s="4" t="s">
        <v>251</v>
      </c>
      <c r="D139" s="7" t="n">
        <v>21</v>
      </c>
      <c r="E139" s="7" t="n">
        <v>380</v>
      </c>
      <c r="F139" s="7" t="n">
        <v>407</v>
      </c>
      <c r="G139" s="7" t="n">
        <v>407</v>
      </c>
      <c r="H139" s="5" t="n">
        <v>117.6</v>
      </c>
      <c r="I139" s="16" t="n">
        <f aca="false">G139/E139-1</f>
        <v>0.0710526315789475</v>
      </c>
      <c r="J139" s="13" t="n">
        <f aca="false">D139*(1+前提!$B$18*I139)</f>
        <v>20.5523684210526</v>
      </c>
      <c r="K139" s="17" t="n">
        <f aca="false">D139*E139</f>
        <v>7980</v>
      </c>
      <c r="L139" s="17" t="n">
        <f aca="false">J139*G139</f>
        <v>8364.81394736842</v>
      </c>
      <c r="M139" s="17" t="n">
        <f aca="false">D139*H139</f>
        <v>2469.6</v>
      </c>
      <c r="N139" s="17" t="n">
        <f aca="false">J139*H139</f>
        <v>2416.95852631579</v>
      </c>
      <c r="O139" s="18" t="n">
        <f aca="false">(L139-N139)-(K139-M139)</f>
        <v>437.455421052631</v>
      </c>
      <c r="P139" s="4"/>
    </row>
    <row r="140" customFormat="false" ht="15" hidden="false" customHeight="false" outlineLevel="0" collapsed="false">
      <c r="A140" s="4" t="s">
        <v>302</v>
      </c>
      <c r="B140" s="4" t="s">
        <v>302</v>
      </c>
      <c r="C140" s="4" t="s">
        <v>251</v>
      </c>
      <c r="D140" s="7" t="n">
        <v>11</v>
      </c>
      <c r="E140" s="7" t="n">
        <v>480</v>
      </c>
      <c r="F140" s="7" t="n">
        <v>507</v>
      </c>
      <c r="G140" s="7" t="n">
        <v>507</v>
      </c>
      <c r="H140" s="5" t="n">
        <v>93.9</v>
      </c>
      <c r="I140" s="16" t="n">
        <f aca="false">G140/E140-1</f>
        <v>0.0562499999999999</v>
      </c>
      <c r="J140" s="13" t="n">
        <f aca="false">D140*(1+前提!$B$18*I140)</f>
        <v>10.814375</v>
      </c>
      <c r="K140" s="17" t="n">
        <f aca="false">D140*E140</f>
        <v>5280</v>
      </c>
      <c r="L140" s="17" t="n">
        <f aca="false">J140*G140</f>
        <v>5482.888125</v>
      </c>
      <c r="M140" s="17" t="n">
        <f aca="false">D140*H140</f>
        <v>1032.9</v>
      </c>
      <c r="N140" s="17" t="n">
        <f aca="false">J140*H140</f>
        <v>1015.4698125</v>
      </c>
      <c r="O140" s="18" t="n">
        <f aca="false">(L140-N140)-(K140-M140)</f>
        <v>220.3183125</v>
      </c>
      <c r="P140" s="4"/>
    </row>
    <row r="141" customFormat="false" ht="15" hidden="false" customHeight="false" outlineLevel="0" collapsed="false">
      <c r="A141" s="6" t="s">
        <v>303</v>
      </c>
      <c r="B141" s="4" t="s">
        <v>304</v>
      </c>
      <c r="C141" s="4" t="s">
        <v>251</v>
      </c>
      <c r="D141" s="7" t="n">
        <v>8</v>
      </c>
      <c r="E141" s="7" t="n">
        <v>580</v>
      </c>
      <c r="F141" s="7" t="n">
        <v>625</v>
      </c>
      <c r="G141" s="7" t="n">
        <v>625</v>
      </c>
      <c r="H141" s="5" t="n">
        <v>230.6</v>
      </c>
      <c r="I141" s="16" t="n">
        <f aca="false">G141/E141-1</f>
        <v>0.0775862068965518</v>
      </c>
      <c r="J141" s="13" t="n">
        <f aca="false">D141*(1+前提!$B$18*I141)</f>
        <v>7.81379310344828</v>
      </c>
      <c r="K141" s="17" t="n">
        <f aca="false">D141*E141</f>
        <v>4640</v>
      </c>
      <c r="L141" s="17" t="n">
        <f aca="false">J141*G141</f>
        <v>4883.62068965517</v>
      </c>
      <c r="M141" s="17" t="n">
        <f aca="false">D141*H141</f>
        <v>1844.8</v>
      </c>
      <c r="N141" s="17" t="n">
        <f aca="false">J141*H141</f>
        <v>1801.86068965517</v>
      </c>
      <c r="O141" s="18" t="n">
        <f aca="false">(L141-N141)-(K141-M141)</f>
        <v>286.56</v>
      </c>
      <c r="P141" s="4"/>
    </row>
    <row r="142" customFormat="false" ht="15" hidden="false" customHeight="false" outlineLevel="0" collapsed="false">
      <c r="A142" s="6" t="s">
        <v>305</v>
      </c>
      <c r="B142" s="4" t="s">
        <v>306</v>
      </c>
      <c r="C142" s="4" t="s">
        <v>251</v>
      </c>
      <c r="D142" s="7" t="n">
        <v>4</v>
      </c>
      <c r="E142" s="7" t="n">
        <v>780</v>
      </c>
      <c r="F142" s="7" t="n">
        <v>807</v>
      </c>
      <c r="G142" s="7" t="n">
        <v>807</v>
      </c>
      <c r="H142" s="5" t="n">
        <v>192.2</v>
      </c>
      <c r="I142" s="16" t="n">
        <f aca="false">G142/E142-1</f>
        <v>0.0346153846153847</v>
      </c>
      <c r="J142" s="13" t="n">
        <f aca="false">D142*(1+前提!$B$18*I142)</f>
        <v>3.95846153846154</v>
      </c>
      <c r="K142" s="17" t="n">
        <f aca="false">D142*E142</f>
        <v>3120</v>
      </c>
      <c r="L142" s="17" t="n">
        <f aca="false">J142*G142</f>
        <v>3194.47846153846</v>
      </c>
      <c r="M142" s="17" t="n">
        <f aca="false">D142*H142</f>
        <v>768.8</v>
      </c>
      <c r="N142" s="17" t="n">
        <f aca="false">J142*H142</f>
        <v>760.816307692308</v>
      </c>
      <c r="O142" s="18" t="n">
        <f aca="false">(L142-N142)-(K142-M142)</f>
        <v>82.4621538461543</v>
      </c>
      <c r="P142" s="4"/>
    </row>
    <row r="143" customFormat="false" ht="15" hidden="false" customHeight="false" outlineLevel="0" collapsed="false">
      <c r="A143" s="4" t="s">
        <v>307</v>
      </c>
      <c r="B143" s="4" t="s">
        <v>307</v>
      </c>
      <c r="C143" s="4" t="s">
        <v>251</v>
      </c>
      <c r="D143" s="7" t="n">
        <v>6</v>
      </c>
      <c r="E143" s="7" t="n">
        <v>380</v>
      </c>
      <c r="F143" s="7" t="n">
        <v>407</v>
      </c>
      <c r="G143" s="7" t="n">
        <v>407</v>
      </c>
      <c r="H143" s="5" t="n">
        <v>211</v>
      </c>
      <c r="I143" s="16" t="n">
        <f aca="false">G143/E143-1</f>
        <v>0.0710526315789475</v>
      </c>
      <c r="J143" s="13" t="n">
        <f aca="false">D143*(1+前提!$B$18*I143)</f>
        <v>5.87210526315789</v>
      </c>
      <c r="K143" s="17" t="n">
        <f aca="false">D143*E143</f>
        <v>2280</v>
      </c>
      <c r="L143" s="17" t="n">
        <f aca="false">J143*G143</f>
        <v>2389.94684210526</v>
      </c>
      <c r="M143" s="17" t="n">
        <f aca="false">D143*H143</f>
        <v>1266</v>
      </c>
      <c r="N143" s="17" t="n">
        <f aca="false">J143*H143</f>
        <v>1239.01421052632</v>
      </c>
      <c r="O143" s="18" t="n">
        <f aca="false">(L143-N143)-(K143-M143)</f>
        <v>136.932631578947</v>
      </c>
      <c r="P143" s="4"/>
    </row>
    <row r="144" customFormat="false" ht="15" hidden="false" customHeight="false" outlineLevel="0" collapsed="false">
      <c r="A144" s="6" t="s">
        <v>308</v>
      </c>
      <c r="B144" s="4" t="s">
        <v>309</v>
      </c>
      <c r="C144" s="4" t="s">
        <v>310</v>
      </c>
      <c r="D144" s="7" t="n">
        <v>677</v>
      </c>
      <c r="E144" s="7" t="n">
        <v>980</v>
      </c>
      <c r="F144" s="7" t="n">
        <v>1025</v>
      </c>
      <c r="G144" s="7" t="n">
        <v>1025</v>
      </c>
      <c r="H144" s="5" t="n">
        <v>338.2</v>
      </c>
      <c r="I144" s="16" t="n">
        <f aca="false">G144/E144-1</f>
        <v>0.0459183673469388</v>
      </c>
      <c r="J144" s="13" t="n">
        <f aca="false">D144*(1+前提!$B$18*I144)</f>
        <v>667.673979591837</v>
      </c>
      <c r="K144" s="17" t="n">
        <f aca="false">D144*E144</f>
        <v>663460</v>
      </c>
      <c r="L144" s="17" t="n">
        <f aca="false">J144*G144</f>
        <v>684365.829081633</v>
      </c>
      <c r="M144" s="17" t="n">
        <f aca="false">D144*H144</f>
        <v>228961.4</v>
      </c>
      <c r="N144" s="17" t="n">
        <f aca="false">J144*H144</f>
        <v>225807.339897959</v>
      </c>
      <c r="O144" s="18" t="n">
        <f aca="false">(L144-N144)-(K144-M144)</f>
        <v>24059.8891836735</v>
      </c>
      <c r="P144" s="4"/>
    </row>
    <row r="145" customFormat="false" ht="15" hidden="false" customHeight="false" outlineLevel="0" collapsed="false">
      <c r="A145" s="6" t="s">
        <v>311</v>
      </c>
      <c r="B145" s="4" t="s">
        <v>312</v>
      </c>
      <c r="C145" s="4" t="s">
        <v>310</v>
      </c>
      <c r="D145" s="7" t="n">
        <v>204</v>
      </c>
      <c r="E145" s="7" t="n">
        <v>1280</v>
      </c>
      <c r="F145" s="7" t="n">
        <v>1325</v>
      </c>
      <c r="G145" s="7" t="n">
        <v>1325</v>
      </c>
      <c r="H145" s="5" t="n">
        <v>414.2</v>
      </c>
      <c r="I145" s="16" t="n">
        <f aca="false">G145/E145-1</f>
        <v>0.03515625</v>
      </c>
      <c r="J145" s="13" t="n">
        <f aca="false">D145*(1+前提!$B$18*I145)</f>
        <v>201.8484375</v>
      </c>
      <c r="K145" s="17" t="n">
        <f aca="false">D145*E145</f>
        <v>261120</v>
      </c>
      <c r="L145" s="17" t="n">
        <f aca="false">J145*G145</f>
        <v>267449.1796875</v>
      </c>
      <c r="M145" s="17" t="n">
        <f aca="false">D145*H145</f>
        <v>84496.8</v>
      </c>
      <c r="N145" s="17" t="n">
        <f aca="false">J145*H145</f>
        <v>83605.6228125</v>
      </c>
      <c r="O145" s="18" t="n">
        <f aca="false">(L145-N145)-(K145-M145)</f>
        <v>7220.356875</v>
      </c>
      <c r="P145" s="4"/>
    </row>
    <row r="146" customFormat="false" ht="15" hidden="false" customHeight="false" outlineLevel="0" collapsed="false">
      <c r="A146" s="6" t="s">
        <v>313</v>
      </c>
      <c r="B146" s="4" t="s">
        <v>314</v>
      </c>
      <c r="C146" s="4" t="s">
        <v>310</v>
      </c>
      <c r="D146" s="7" t="n">
        <v>178</v>
      </c>
      <c r="E146" s="7" t="n">
        <v>980</v>
      </c>
      <c r="F146" s="7" t="n">
        <v>1025</v>
      </c>
      <c r="G146" s="7" t="n">
        <v>1025</v>
      </c>
      <c r="H146" s="5" t="n">
        <v>360.2</v>
      </c>
      <c r="I146" s="16" t="n">
        <f aca="false">G146/E146-1</f>
        <v>0.0459183673469388</v>
      </c>
      <c r="J146" s="13" t="n">
        <f aca="false">D146*(1+前提!$B$18*I146)</f>
        <v>175.547959183673</v>
      </c>
      <c r="K146" s="17" t="n">
        <f aca="false">D146*E146</f>
        <v>174440</v>
      </c>
      <c r="L146" s="17" t="n">
        <f aca="false">J146*G146</f>
        <v>179936.658163265</v>
      </c>
      <c r="M146" s="17" t="n">
        <f aca="false">D146*H146</f>
        <v>64115.6</v>
      </c>
      <c r="N146" s="17" t="n">
        <f aca="false">J146*H146</f>
        <v>63232.3748979592</v>
      </c>
      <c r="O146" s="18" t="n">
        <f aca="false">(L146-N146)-(K146-M146)</f>
        <v>6379.88326530613</v>
      </c>
      <c r="P146" s="4"/>
    </row>
    <row r="147" customFormat="false" ht="15" hidden="false" customHeight="false" outlineLevel="0" collapsed="false">
      <c r="A147" s="6" t="s">
        <v>315</v>
      </c>
      <c r="B147" s="4" t="s">
        <v>316</v>
      </c>
      <c r="C147" s="4" t="s">
        <v>310</v>
      </c>
      <c r="D147" s="7" t="n">
        <v>101</v>
      </c>
      <c r="E147" s="7" t="n">
        <v>1280</v>
      </c>
      <c r="F147" s="7" t="n">
        <v>1325</v>
      </c>
      <c r="G147" s="7" t="n">
        <v>1325</v>
      </c>
      <c r="H147" s="5" t="n">
        <v>235.3</v>
      </c>
      <c r="I147" s="16" t="n">
        <f aca="false">G147/E147-1</f>
        <v>0.03515625</v>
      </c>
      <c r="J147" s="13" t="n">
        <f aca="false">D147*(1+前提!$B$18*I147)</f>
        <v>99.934765625</v>
      </c>
      <c r="K147" s="17" t="n">
        <f aca="false">D147*E147</f>
        <v>129280</v>
      </c>
      <c r="L147" s="17" t="n">
        <f aca="false">J147*G147</f>
        <v>132413.564453125</v>
      </c>
      <c r="M147" s="17" t="n">
        <f aca="false">D147*H147</f>
        <v>23765.3</v>
      </c>
      <c r="N147" s="17" t="n">
        <f aca="false">J147*H147</f>
        <v>23514.6503515625</v>
      </c>
      <c r="O147" s="18" t="n">
        <f aca="false">(L147-N147)-(K147-M147)</f>
        <v>3384.21410156252</v>
      </c>
      <c r="P147" s="4"/>
    </row>
    <row r="148" customFormat="false" ht="15" hidden="false" customHeight="false" outlineLevel="0" collapsed="false">
      <c r="A148" s="6" t="s">
        <v>317</v>
      </c>
      <c r="B148" s="4" t="s">
        <v>318</v>
      </c>
      <c r="C148" s="4" t="s">
        <v>310</v>
      </c>
      <c r="D148" s="7" t="n">
        <v>128</v>
      </c>
      <c r="E148" s="7" t="n">
        <v>980</v>
      </c>
      <c r="F148" s="7" t="n">
        <v>1025</v>
      </c>
      <c r="G148" s="7" t="n">
        <v>1025</v>
      </c>
      <c r="H148" s="5" t="n">
        <v>324.3</v>
      </c>
      <c r="I148" s="16" t="n">
        <f aca="false">G148/E148-1</f>
        <v>0.0459183673469388</v>
      </c>
      <c r="J148" s="13" t="n">
        <f aca="false">D148*(1+前提!$B$18*I148)</f>
        <v>126.236734693878</v>
      </c>
      <c r="K148" s="17" t="n">
        <f aca="false">D148*E148</f>
        <v>125440</v>
      </c>
      <c r="L148" s="17" t="n">
        <f aca="false">J148*G148</f>
        <v>129392.653061225</v>
      </c>
      <c r="M148" s="17" t="n">
        <f aca="false">D148*H148</f>
        <v>41510.4</v>
      </c>
      <c r="N148" s="17" t="n">
        <f aca="false">J148*H148</f>
        <v>40938.5730612245</v>
      </c>
      <c r="O148" s="18" t="n">
        <f aca="false">(L148-N148)-(K148-M148)</f>
        <v>4524.48000000001</v>
      </c>
      <c r="P148" s="4"/>
    </row>
    <row r="149" customFormat="false" ht="15" hidden="false" customHeight="false" outlineLevel="0" collapsed="false">
      <c r="A149" s="6" t="s">
        <v>319</v>
      </c>
      <c r="B149" s="4" t="s">
        <v>320</v>
      </c>
      <c r="C149" s="4" t="s">
        <v>310</v>
      </c>
      <c r="D149" s="7" t="n">
        <v>84</v>
      </c>
      <c r="E149" s="7" t="n">
        <v>1380</v>
      </c>
      <c r="F149" s="7" t="n">
        <v>1425</v>
      </c>
      <c r="G149" s="7" t="n">
        <v>1425</v>
      </c>
      <c r="H149" s="5" t="n">
        <v>227.8</v>
      </c>
      <c r="I149" s="16" t="n">
        <f aca="false">G149/E149-1</f>
        <v>0.0326086956521738</v>
      </c>
      <c r="J149" s="13" t="n">
        <f aca="false">D149*(1+前提!$B$18*I149)</f>
        <v>83.1782608695652</v>
      </c>
      <c r="K149" s="17" t="n">
        <f aca="false">D149*E149</f>
        <v>115920</v>
      </c>
      <c r="L149" s="17" t="n">
        <f aca="false">J149*G149</f>
        <v>118529.02173913</v>
      </c>
      <c r="M149" s="17" t="n">
        <f aca="false">D149*H149</f>
        <v>19135.2</v>
      </c>
      <c r="N149" s="17" t="n">
        <f aca="false">J149*H149</f>
        <v>18948.007826087</v>
      </c>
      <c r="O149" s="18" t="n">
        <f aca="false">(L149-N149)-(K149-M149)</f>
        <v>2796.21391304348</v>
      </c>
      <c r="P149" s="4"/>
    </row>
    <row r="150" customFormat="false" ht="15" hidden="false" customHeight="false" outlineLevel="0" collapsed="false">
      <c r="A150" s="6" t="s">
        <v>321</v>
      </c>
      <c r="B150" s="4" t="s">
        <v>322</v>
      </c>
      <c r="C150" s="4" t="s">
        <v>310</v>
      </c>
      <c r="D150" s="7" t="n">
        <v>78</v>
      </c>
      <c r="E150" s="7" t="n">
        <v>1380</v>
      </c>
      <c r="F150" s="7" t="n">
        <v>1425</v>
      </c>
      <c r="G150" s="7" t="n">
        <v>1425</v>
      </c>
      <c r="H150" s="5" t="n">
        <v>372.9</v>
      </c>
      <c r="I150" s="16" t="n">
        <f aca="false">G150/E150-1</f>
        <v>0.0326086956521738</v>
      </c>
      <c r="J150" s="13" t="n">
        <f aca="false">D150*(1+前提!$B$18*I150)</f>
        <v>77.2369565217391</v>
      </c>
      <c r="K150" s="17" t="n">
        <f aca="false">D150*E150</f>
        <v>107640</v>
      </c>
      <c r="L150" s="17" t="n">
        <f aca="false">J150*G150</f>
        <v>110062.663043478</v>
      </c>
      <c r="M150" s="17" t="n">
        <f aca="false">D150*H150</f>
        <v>29086.2</v>
      </c>
      <c r="N150" s="17" t="n">
        <f aca="false">J150*H150</f>
        <v>28801.6610869565</v>
      </c>
      <c r="O150" s="18" t="n">
        <f aca="false">(L150-N150)-(K150-M150)</f>
        <v>2707.20195652173</v>
      </c>
      <c r="P150" s="4"/>
    </row>
    <row r="151" customFormat="false" ht="15" hidden="false" customHeight="false" outlineLevel="0" collapsed="false">
      <c r="A151" s="6" t="s">
        <v>323</v>
      </c>
      <c r="B151" s="4" t="s">
        <v>324</v>
      </c>
      <c r="C151" s="4" t="s">
        <v>310</v>
      </c>
      <c r="D151" s="7" t="n">
        <v>121</v>
      </c>
      <c r="E151" s="7" t="n">
        <v>780</v>
      </c>
      <c r="F151" s="7" t="n">
        <v>807</v>
      </c>
      <c r="G151" s="7" t="n">
        <v>807</v>
      </c>
      <c r="H151" s="5" t="n">
        <v>91.4</v>
      </c>
      <c r="I151" s="16" t="n">
        <f aca="false">G151/E151-1</f>
        <v>0.0346153846153847</v>
      </c>
      <c r="J151" s="13" t="n">
        <f aca="false">D151*(1+前提!$B$18*I151)</f>
        <v>119.743461538462</v>
      </c>
      <c r="K151" s="17" t="n">
        <f aca="false">D151*E151</f>
        <v>94380</v>
      </c>
      <c r="L151" s="17" t="n">
        <f aca="false">J151*G151</f>
        <v>96632.9734615385</v>
      </c>
      <c r="M151" s="17" t="n">
        <f aca="false">D151*H151</f>
        <v>11059.4</v>
      </c>
      <c r="N151" s="17" t="n">
        <f aca="false">J151*H151</f>
        <v>10944.5523846154</v>
      </c>
      <c r="O151" s="18" t="n">
        <f aca="false">(L151-N151)-(K151-M151)</f>
        <v>2367.82107692306</v>
      </c>
      <c r="P151" s="4"/>
    </row>
    <row r="152" customFormat="false" ht="15" hidden="false" customHeight="false" outlineLevel="0" collapsed="false">
      <c r="A152" s="6" t="s">
        <v>325</v>
      </c>
      <c r="B152" s="6" t="s">
        <v>326</v>
      </c>
      <c r="C152" s="4" t="s">
        <v>310</v>
      </c>
      <c r="D152" s="7" t="n">
        <v>51</v>
      </c>
      <c r="E152" s="7" t="n">
        <v>980</v>
      </c>
      <c r="F152" s="7" t="n">
        <v>1025</v>
      </c>
      <c r="G152" s="7" t="n">
        <v>1025</v>
      </c>
      <c r="H152" s="5" t="n">
        <v>171</v>
      </c>
      <c r="I152" s="16" t="n">
        <f aca="false">G152/E152-1</f>
        <v>0.0459183673469388</v>
      </c>
      <c r="J152" s="13" t="n">
        <f aca="false">D152*(1+前提!$B$18*I152)</f>
        <v>50.2974489795918</v>
      </c>
      <c r="K152" s="17" t="n">
        <f aca="false">D152*E152</f>
        <v>49980</v>
      </c>
      <c r="L152" s="17" t="n">
        <f aca="false">J152*G152</f>
        <v>51554.8852040816</v>
      </c>
      <c r="M152" s="17" t="n">
        <f aca="false">D152*H152</f>
        <v>8721</v>
      </c>
      <c r="N152" s="17" t="n">
        <f aca="false">J152*H152</f>
        <v>8600.86377551021</v>
      </c>
      <c r="O152" s="18" t="n">
        <f aca="false">(L152-N152)-(K152-M152)</f>
        <v>1695.02142857142</v>
      </c>
      <c r="P152" s="4"/>
    </row>
    <row r="153" customFormat="false" ht="15" hidden="false" customHeight="false" outlineLevel="0" collapsed="false">
      <c r="A153" s="6" t="s">
        <v>327</v>
      </c>
      <c r="B153" s="6" t="s">
        <v>328</v>
      </c>
      <c r="C153" s="4" t="s">
        <v>310</v>
      </c>
      <c r="D153" s="7" t="n">
        <v>24</v>
      </c>
      <c r="E153" s="7" t="n">
        <v>1030</v>
      </c>
      <c r="F153" s="7" t="n">
        <v>1080</v>
      </c>
      <c r="G153" s="7" t="n">
        <v>1080</v>
      </c>
      <c r="H153" s="5" t="n">
        <v>309.1</v>
      </c>
      <c r="I153" s="16" t="n">
        <f aca="false">G153/E153-1</f>
        <v>0.0485436893203883</v>
      </c>
      <c r="J153" s="13" t="n">
        <f aca="false">D153*(1+前提!$B$18*I153)</f>
        <v>23.6504854368932</v>
      </c>
      <c r="K153" s="17" t="n">
        <f aca="false">D153*E153</f>
        <v>24720</v>
      </c>
      <c r="L153" s="17" t="n">
        <f aca="false">J153*G153</f>
        <v>25542.5242718447</v>
      </c>
      <c r="M153" s="17" t="n">
        <f aca="false">D153*H153</f>
        <v>7418.4</v>
      </c>
      <c r="N153" s="17" t="n">
        <f aca="false">J153*H153</f>
        <v>7310.36504854369</v>
      </c>
      <c r="O153" s="18" t="n">
        <f aca="false">(L153-N153)-(K153-M153)</f>
        <v>930.559223300974</v>
      </c>
      <c r="P153" s="4"/>
    </row>
    <row r="154" customFormat="false" ht="15" hidden="false" customHeight="false" outlineLevel="0" collapsed="false">
      <c r="A154" s="6" t="s">
        <v>329</v>
      </c>
      <c r="B154" s="6" t="s">
        <v>328</v>
      </c>
      <c r="C154" s="4" t="s">
        <v>310</v>
      </c>
      <c r="D154" s="7" t="n">
        <v>2</v>
      </c>
      <c r="E154" s="7" t="n">
        <v>1030</v>
      </c>
      <c r="F154" s="7" t="n">
        <v>1080</v>
      </c>
      <c r="G154" s="7" t="n">
        <v>1080</v>
      </c>
      <c r="H154" s="5" t="n">
        <v>309.1</v>
      </c>
      <c r="I154" s="16" t="n">
        <f aca="false">G154/E154-1</f>
        <v>0.0485436893203883</v>
      </c>
      <c r="J154" s="13" t="n">
        <f aca="false">D154*(1+前提!$B$18*I154)</f>
        <v>1.97087378640777</v>
      </c>
      <c r="K154" s="17" t="n">
        <f aca="false">D154*E154</f>
        <v>2060</v>
      </c>
      <c r="L154" s="17" t="n">
        <f aca="false">J154*G154</f>
        <v>2128.54368932039</v>
      </c>
      <c r="M154" s="17" t="n">
        <f aca="false">D154*H154</f>
        <v>618.2</v>
      </c>
      <c r="N154" s="17" t="n">
        <f aca="false">J154*H154</f>
        <v>609.197087378641</v>
      </c>
      <c r="O154" s="18" t="n">
        <f aca="false">(L154-N154)-(K154-M154)</f>
        <v>77.5466019417474</v>
      </c>
      <c r="P154" s="4"/>
    </row>
    <row r="155" customFormat="false" ht="15" hidden="false" customHeight="false" outlineLevel="0" collapsed="false">
      <c r="A155" s="4" t="s">
        <v>330</v>
      </c>
      <c r="B155" s="4" t="s">
        <v>331</v>
      </c>
      <c r="C155" s="4" t="s">
        <v>59</v>
      </c>
      <c r="D155" s="7" t="n">
        <v>964</v>
      </c>
      <c r="E155" s="7" t="n">
        <v>1232</v>
      </c>
      <c r="F155" s="7" t="n">
        <v>1232</v>
      </c>
      <c r="G155" s="7" t="n">
        <v>1277</v>
      </c>
      <c r="H155" s="5" t="n">
        <v>381.4</v>
      </c>
      <c r="I155" s="16" t="n">
        <f aca="false">G155/E155-1</f>
        <v>0.036525974025974</v>
      </c>
      <c r="J155" s="13" t="n">
        <f aca="false">D155*(1+前提!$B$18*I155)</f>
        <v>953.436688311688</v>
      </c>
      <c r="K155" s="17" t="n">
        <f aca="false">D155*E155</f>
        <v>1187648</v>
      </c>
      <c r="L155" s="17" t="n">
        <f aca="false">J155*G155</f>
        <v>1217538.65097403</v>
      </c>
      <c r="M155" s="17" t="n">
        <f aca="false">D155*H155</f>
        <v>367669.6</v>
      </c>
      <c r="N155" s="17" t="n">
        <f aca="false">J155*H155</f>
        <v>363640.752922078</v>
      </c>
      <c r="O155" s="18" t="n">
        <f aca="false">(L155-N155)-(K155-M155)</f>
        <v>33919.498051948</v>
      </c>
      <c r="P155" s="6" t="s">
        <v>60</v>
      </c>
    </row>
    <row r="156" customFormat="false" ht="15" hidden="false" customHeight="false" outlineLevel="0" collapsed="false">
      <c r="A156" s="10" t="s">
        <v>332</v>
      </c>
      <c r="B156" s="19"/>
      <c r="C156" s="19"/>
      <c r="D156" s="20" t="n">
        <f aca="false">SUM(D5:D155)</f>
        <v>16459</v>
      </c>
      <c r="E156" s="19"/>
      <c r="F156" s="19"/>
      <c r="G156" s="19"/>
      <c r="H156" s="19"/>
      <c r="I156" s="19"/>
      <c r="J156" s="20" t="n">
        <f aca="false">SUM(J5:J155)</f>
        <v>16206.6823763854</v>
      </c>
      <c r="K156" s="20" t="n">
        <f aca="false">SUM(K5:K155)</f>
        <v>12587396</v>
      </c>
      <c r="L156" s="20" t="n">
        <f aca="false">SUM(L5:L155)</f>
        <v>12940784.499826</v>
      </c>
      <c r="M156" s="20" t="n">
        <f aca="false">SUM(M5:M155)</f>
        <v>3896540.29307248</v>
      </c>
      <c r="N156" s="20" t="n">
        <f aca="false">SUM(N5:N155)</f>
        <v>3847052.80309524</v>
      </c>
      <c r="O156" s="21" t="n">
        <f aca="false">SUM(O5:O155)</f>
        <v>402875.989803222</v>
      </c>
      <c r="P156" s="19"/>
    </row>
    <row r="157" customFormat="false" ht="15" hidden="false" customHeight="false" outlineLevel="0" collapsed="false">
      <c r="A157" s="22" t="s">
        <v>333</v>
      </c>
    </row>
  </sheetData>
  <autoFilter ref="A4:P1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15"/>
    <col collapsed="false" customWidth="true" hidden="false" outlineLevel="0" max="8" min="7" style="0" width="13"/>
    <col collapsed="false" customWidth="true" hidden="false" outlineLevel="0" max="10" min="9" style="0" width="16"/>
  </cols>
  <sheetData>
    <row r="1" customFormat="false" ht="19.4" hidden="false" customHeight="false" outlineLevel="0" collapsed="false">
      <c r="A1" s="1" t="s">
        <v>334</v>
      </c>
    </row>
    <row r="2" customFormat="false" ht="15" hidden="false" customHeight="false" outlineLevel="0" collapsed="false">
      <c r="A2" s="14" t="s">
        <v>335</v>
      </c>
    </row>
    <row r="4" customFormat="false" ht="29.85" hidden="false" customHeight="false" outlineLevel="0" collapsed="false">
      <c r="A4" s="3" t="s">
        <v>43</v>
      </c>
      <c r="B4" s="3" t="s">
        <v>336</v>
      </c>
      <c r="C4" s="3" t="s">
        <v>337</v>
      </c>
      <c r="D4" s="3" t="s">
        <v>338</v>
      </c>
      <c r="E4" s="3" t="s">
        <v>339</v>
      </c>
      <c r="F4" s="3" t="s">
        <v>340</v>
      </c>
      <c r="G4" s="3" t="s">
        <v>341</v>
      </c>
      <c r="H4" s="3" t="s">
        <v>342</v>
      </c>
      <c r="I4" s="3" t="s">
        <v>343</v>
      </c>
      <c r="J4" s="3" t="s">
        <v>344</v>
      </c>
    </row>
    <row r="5" customFormat="false" ht="15" hidden="false" customHeight="false" outlineLevel="0" collapsed="false">
      <c r="A5" s="23" t="s">
        <v>59</v>
      </c>
      <c r="B5" s="17" t="n">
        <f aca="false">SUMIF(品目別試算!$C$5:$C$155,$A5,品目別試算!$K$5:$K$155)</f>
        <v>4609488</v>
      </c>
      <c r="C5" s="18" t="n">
        <f aca="false">SUMIF(品目別試算!$C$5:$C$155,$A5,品目別試算!$L$5:$L$155)-SUMIF(品目別試算!$C$5:$C$155,$A5,品目別試算!$K$5:$K$155)</f>
        <v>129968.323920471</v>
      </c>
      <c r="D5" s="16" t="n">
        <f aca="false">IFERROR(SUMIF(品目別試算!$C$5:$C$155,$A5,品目別試算!$G$5:$G$155)*0+(SUMIF(品目別試算!$C$5:$C$155,$A5,品目別試算!$L$5:$L$155)/SUMIF(品目別試算!$C$5:$C$155,$A5,品目別試算!$J$5:$J$155))/(SUMIF(品目別試算!$C$5:$C$155,$A5,品目別試算!$K$5:$K$155)/SUMIF(品目別試算!$C$5:$C$155,$A5,品目別試算!$D$5:$D$155))-1,0)</f>
        <v>0.0483998173043618</v>
      </c>
      <c r="E5" s="18" t="n">
        <f aca="false">SUMIF(品目別試算!$C$5:$C$155,$A5,品目別試算!$N$5:$N$155)-SUMIF(品目別試算!$C$5:$C$155,$A5,品目別試算!$M$5:$M$155)</f>
        <v>-20305.1203676141</v>
      </c>
      <c r="F5" s="18" t="n">
        <f aca="false">C5-E5</f>
        <v>150273.444288085</v>
      </c>
      <c r="G5" s="24" t="n">
        <f aca="false">SUMIF(品目別試算!$C$5:$C$155,$A5,品目別試算!$M$5:$M$155)/SUMIF(品目別試算!$C$5:$C$155,$A5,品目別試算!$K$5:$K$155)</f>
        <v>0.333208712117268</v>
      </c>
      <c r="H5" s="24" t="n">
        <f aca="false">SUMIF(品目別試算!$C$5:$C$155,$A5,品目別試算!$N$5:$N$155)/SUMIF(品目別試算!$C$5:$C$155,$A5,品目別試算!$L$5:$L$155)</f>
        <v>0.319786983157315</v>
      </c>
      <c r="I5" s="18" t="n">
        <f aca="false">C5/1000*前提!$B$24*2</f>
        <v>538.329933423475</v>
      </c>
      <c r="J5" s="18" t="n">
        <f aca="false">F5/1000*前提!$B$24*2</f>
        <v>622.433919425033</v>
      </c>
    </row>
    <row r="6" customFormat="false" ht="15" hidden="false" customHeight="false" outlineLevel="0" collapsed="false">
      <c r="A6" s="23" t="s">
        <v>310</v>
      </c>
      <c r="B6" s="17" t="n">
        <f aca="false">SUMIF(品目別試算!$C$5:$C$155,$A6,品目別試算!$K$5:$K$155)</f>
        <v>1748440</v>
      </c>
      <c r="C6" s="18" t="n">
        <f aca="false">SUMIF(品目別試算!$C$5:$C$155,$A6,品目別試算!$L$5:$L$155)-SUMIF(品目別試算!$C$5:$C$155,$A6,品目別試算!$K$5:$K$155)</f>
        <v>49568.4958561412</v>
      </c>
      <c r="D6" s="16" t="n">
        <f aca="false">IFERROR(SUMIF(品目別試算!$C$5:$C$155,$A6,品目別試算!$G$5:$G$155)*0+(SUMIF(品目別試算!$C$5:$C$155,$A6,品目別試算!$L$5:$L$155)/SUMIF(品目別試算!$C$5:$C$155,$A6,品目別試算!$J$5:$J$155))/(SUMIF(品目別試算!$C$5:$C$155,$A6,品目別試算!$K$5:$K$155)/SUMIF(品目別試算!$C$5:$C$155,$A6,品目別試算!$D$5:$D$155))-1,0)</f>
        <v>0.0414188185102702</v>
      </c>
      <c r="E6" s="18" t="n">
        <f aca="false">SUMIF(品目別試算!$C$5:$C$155,$A6,品目別試算!$N$5:$N$155)-SUMIF(品目別試算!$C$5:$C$155,$A6,品目別試算!$M$5:$M$155)</f>
        <v>-6574.69176970323</v>
      </c>
      <c r="F6" s="18" t="n">
        <f aca="false">C6-E6</f>
        <v>56143.1876258444</v>
      </c>
      <c r="G6" s="24" t="n">
        <f aca="false">SUMIF(品目別試算!$C$5:$C$155,$A6,品目別試算!$M$5:$M$155)/SUMIF(品目別試算!$C$5:$C$155,$A6,品目別試算!$K$5:$K$155)</f>
        <v>0.296771922399396</v>
      </c>
      <c r="H6" s="24" t="n">
        <f aca="false">SUMIF(品目別試算!$C$5:$C$155,$A6,品目別試算!$N$5:$N$155)/SUMIF(品目別試算!$C$5:$C$155,$A6,品目別試算!$L$5:$L$155)</f>
        <v>0.284933697149386</v>
      </c>
      <c r="I6" s="18" t="n">
        <f aca="false">C6/1000*前提!$B$24*2</f>
        <v>205.313142996802</v>
      </c>
      <c r="J6" s="18" t="n">
        <f aca="false">F6/1000*前提!$B$24*2</f>
        <v>232.545573760701</v>
      </c>
    </row>
    <row r="7" customFormat="false" ht="15" hidden="false" customHeight="false" outlineLevel="0" collapsed="false">
      <c r="A7" s="23" t="s">
        <v>251</v>
      </c>
      <c r="B7" s="17" t="n">
        <f aca="false">SUMIF(品目別試算!$C$5:$C$155,$A7,品目別試算!$K$5:$K$155)</f>
        <v>2197540</v>
      </c>
      <c r="C7" s="18" t="n">
        <f aca="false">SUMIF(品目別試算!$C$5:$C$155,$A7,品目別試算!$L$5:$L$155)-SUMIF(品目別試算!$C$5:$C$155,$A7,品目別試算!$K$5:$K$155)</f>
        <v>66077.97255236</v>
      </c>
      <c r="D7" s="16" t="n">
        <f aca="false">IFERROR(SUMIF(品目別試算!$C$5:$C$155,$A7,品目別試算!$G$5:$G$155)*0+(SUMIF(品目別試算!$C$5:$C$155,$A7,品目別試算!$L$5:$L$155)/SUMIF(品目別試算!$C$5:$C$155,$A7,品目別試算!$J$5:$J$155))/(SUMIF(品目別試算!$C$5:$C$155,$A7,品目別試算!$K$5:$K$155)/SUMIF(品目別試算!$C$5:$C$155,$A7,品目別試算!$D$5:$D$155))-1,0)</f>
        <v>0.045642284209757</v>
      </c>
      <c r="E7" s="18" t="n">
        <f aca="false">SUMIF(品目別試算!$C$5:$C$155,$A7,品目別試算!$N$5:$N$155)-SUMIF(品目別試算!$C$5:$C$155,$A7,品目別試算!$M$5:$M$155)</f>
        <v>-9617.46765999193</v>
      </c>
      <c r="F7" s="18" t="n">
        <f aca="false">C7-E7</f>
        <v>75695.440212352</v>
      </c>
      <c r="G7" s="24" t="n">
        <f aca="false">SUMIF(品目別試算!$C$5:$C$155,$A7,品目別試算!$M$5:$M$155)/SUMIF(品目別試算!$C$5:$C$155,$A7,品目別試算!$K$5:$K$155)</f>
        <v>0.336222685366364</v>
      </c>
      <c r="H7" s="24" t="n">
        <f aca="false">SUMIF(品目別試算!$C$5:$C$155,$A7,品目別試算!$N$5:$N$155)/SUMIF(品目別試算!$C$5:$C$155,$A7,品目別試算!$L$5:$L$155)</f>
        <v>0.322159189926267</v>
      </c>
      <c r="I7" s="18" t="n">
        <f aca="false">C7/1000*前提!$B$24*2</f>
        <v>273.695539742722</v>
      </c>
      <c r="J7" s="18" t="n">
        <f aca="false">F7/1000*前提!$B$24*2</f>
        <v>313.531174833885</v>
      </c>
    </row>
    <row r="8" customFormat="false" ht="15" hidden="false" customHeight="false" outlineLevel="0" collapsed="false">
      <c r="A8" s="23" t="s">
        <v>103</v>
      </c>
      <c r="B8" s="17" t="n">
        <f aca="false">SUMIF(品目別試算!$C$5:$C$155,$A8,品目別試算!$K$5:$K$155)</f>
        <v>1950538</v>
      </c>
      <c r="C8" s="18" t="n">
        <f aca="false">SUMIF(品目別試算!$C$5:$C$155,$A8,品目別試算!$L$5:$L$155)-SUMIF(品目別試算!$C$5:$C$155,$A8,品目別試算!$K$5:$K$155)</f>
        <v>31271.1841755295</v>
      </c>
      <c r="D8" s="16" t="n">
        <f aca="false">IFERROR(SUMIF(品目別試算!$C$5:$C$155,$A8,品目別試算!$G$5:$G$155)*0+(SUMIF(品目別試算!$C$5:$C$155,$A8,品目別試算!$L$5:$L$155)/SUMIF(品目別試算!$C$5:$C$155,$A8,品目別試算!$J$5:$J$155))/(SUMIF(品目別試算!$C$5:$C$155,$A8,品目別試算!$K$5:$K$155)/SUMIF(品目別試算!$C$5:$C$155,$A8,品目別試算!$D$5:$D$155))-1,0)</f>
        <v>0.0238409930988821</v>
      </c>
      <c r="E8" s="18" t="n">
        <f aca="false">SUMIF(品目別試算!$C$5:$C$155,$A8,品目別試算!$N$5:$N$155)-SUMIF(品目別試算!$C$5:$C$155,$A8,品目別試算!$M$5:$M$155)</f>
        <v>-5663.16104328679</v>
      </c>
      <c r="F8" s="18" t="n">
        <f aca="false">C8-E8</f>
        <v>36934.3452188163</v>
      </c>
      <c r="G8" s="24" t="n">
        <f aca="false">SUMIF(品目別試算!$C$5:$C$155,$A8,品目別試算!$M$5:$M$155)/SUMIF(品目別試算!$C$5:$C$155,$A8,品目別試算!$K$5:$K$155)</f>
        <v>0.327457026067743</v>
      </c>
      <c r="H8" s="24" t="n">
        <f aca="false">SUMIF(品目別試算!$C$5:$C$155,$A8,品目別試算!$N$5:$N$155)/SUMIF(品目別試算!$C$5:$C$155,$A8,品目別試算!$L$5:$L$155)</f>
        <v>0.319432474490322</v>
      </c>
      <c r="I8" s="18" t="n">
        <f aca="false">C8/1000*前提!$B$24*2</f>
        <v>129.525518122301</v>
      </c>
      <c r="J8" s="18" t="n">
        <f aca="false">F8/1000*前提!$B$24*2</f>
        <v>152.982380651855</v>
      </c>
    </row>
    <row r="9" customFormat="false" ht="15" hidden="false" customHeight="false" outlineLevel="0" collapsed="false">
      <c r="A9" s="23" t="s">
        <v>182</v>
      </c>
      <c r="B9" s="17" t="n">
        <f aca="false">SUMIF(品目別試算!$C$5:$C$155,$A9,品目別試算!$K$5:$K$155)</f>
        <v>1494060</v>
      </c>
      <c r="C9" s="18" t="n">
        <f aca="false">SUMIF(品目別試算!$C$5:$C$155,$A9,品目別試算!$L$5:$L$155)-SUMIF(品目別試算!$C$5:$C$155,$A9,品目別試算!$K$5:$K$155)</f>
        <v>55141.2079049004</v>
      </c>
      <c r="D9" s="16" t="n">
        <f aca="false">IFERROR(SUMIF(品目別試算!$C$5:$C$155,$A9,品目別試算!$G$5:$G$155)*0+(SUMIF(品目別試算!$C$5:$C$155,$A9,品目別試算!$L$5:$L$155)/SUMIF(品目別試算!$C$5:$C$155,$A9,品目別試算!$J$5:$J$155))/(SUMIF(品目別試算!$C$5:$C$155,$A9,品目別試算!$K$5:$K$155)/SUMIF(品目別試算!$C$5:$C$155,$A9,品目別試算!$D$5:$D$155))-1,0)</f>
        <v>0.0555949771509352</v>
      </c>
      <c r="E9" s="18" t="n">
        <f aca="false">SUMIF(品目別試算!$C$5:$C$155,$A9,品目別試算!$N$5:$N$155)-SUMIF(品目別試算!$C$5:$C$155,$A9,品目別試算!$M$5:$M$155)</f>
        <v>-5150.39538006712</v>
      </c>
      <c r="F9" s="18" t="n">
        <f aca="false">C9-E9</f>
        <v>60291.6032849675</v>
      </c>
      <c r="G9" s="24" t="n">
        <f aca="false">SUMIF(品目別試算!$C$5:$C$155,$A9,品目別試算!$M$5:$M$155)/SUMIF(品目別試算!$C$5:$C$155,$A9,品目別試算!$K$5:$K$155)</f>
        <v>0.21774765428454</v>
      </c>
      <c r="H9" s="24" t="n">
        <f aca="false">SUMIF(品目別試算!$C$5:$C$155,$A9,品目別試算!$N$5:$N$155)/SUMIF(品目別試算!$C$5:$C$155,$A9,品目別試算!$L$5:$L$155)</f>
        <v>0.2066727442159</v>
      </c>
      <c r="I9" s="18" t="n">
        <f aca="false">C9/1000*前提!$B$24*2</f>
        <v>228.395365000622</v>
      </c>
      <c r="J9" s="18" t="n">
        <f aca="false">F9/1000*前提!$B$24*2</f>
        <v>249.728347672252</v>
      </c>
    </row>
    <row r="10" customFormat="false" ht="15" hidden="false" customHeight="false" outlineLevel="0" collapsed="false">
      <c r="A10" s="23" t="s">
        <v>226</v>
      </c>
      <c r="B10" s="17" t="n">
        <f aca="false">SUMIF(品目別試算!$C$5:$C$155,$A10,品目別試算!$K$5:$K$155)</f>
        <v>587330</v>
      </c>
      <c r="C10" s="18" t="n">
        <f aca="false">SUMIF(品目別試算!$C$5:$C$155,$A10,品目別試算!$L$5:$L$155)-SUMIF(品目別試算!$C$5:$C$155,$A10,品目別試算!$K$5:$K$155)</f>
        <v>21361.3154165752</v>
      </c>
      <c r="D10" s="16" t="n">
        <f aca="false">IFERROR(SUMIF(品目別試算!$C$5:$C$155,$A10,品目別試算!$G$5:$G$155)*0+(SUMIF(品目別試算!$C$5:$C$155,$A10,品目別試算!$L$5:$L$155)/SUMIF(品目別試算!$C$5:$C$155,$A10,品目別試算!$J$5:$J$155))/(SUMIF(品目別試算!$C$5:$C$155,$A10,品目別試算!$K$5:$K$155)/SUMIF(品目別試算!$C$5:$C$155,$A10,品目別試算!$D$5:$D$155))-1,0)</f>
        <v>0.0531040315922076</v>
      </c>
      <c r="E10" s="18" t="n">
        <f aca="false">SUMIF(品目別試算!$C$5:$C$155,$A10,品目別試算!$N$5:$N$155)-SUMIF(品目別試算!$C$5:$C$155,$A10,品目別試算!$M$5:$M$155)</f>
        <v>-2176.65375658183</v>
      </c>
      <c r="F10" s="18" t="n">
        <f aca="false">C10-E10</f>
        <v>23537.969173157</v>
      </c>
      <c r="G10" s="24" t="n">
        <f aca="false">SUMIF(品目別試算!$C$5:$C$155,$A10,品目別試算!$M$5:$M$155)/SUMIF(品目別試算!$C$5:$C$155,$A10,品目別試算!$K$5:$K$155)</f>
        <v>0.23636218139717</v>
      </c>
      <c r="H10" s="24" t="n">
        <f aca="false">SUMIF(品目別試算!$C$5:$C$155,$A10,品目別試算!$N$5:$N$155)/SUMIF(品目別試算!$C$5:$C$155,$A10,品目別試算!$L$5:$L$155)</f>
        <v>0.224491368256011</v>
      </c>
      <c r="I10" s="18" t="n">
        <f aca="false">C10/1000*前提!$B$24*2</f>
        <v>88.4787551240517</v>
      </c>
      <c r="J10" s="18" t="n">
        <f aca="false">F10/1000*前提!$B$24*2</f>
        <v>97.4944740047819</v>
      </c>
    </row>
    <row r="11" customFormat="false" ht="15" hidden="false" customHeight="false" outlineLevel="0" collapsed="false">
      <c r="A11" s="10" t="s">
        <v>332</v>
      </c>
      <c r="B11" s="20" t="n">
        <f aca="false">SUM(B5:B10)</f>
        <v>12587396</v>
      </c>
      <c r="C11" s="21" t="n">
        <f aca="false">SUM(C5:C10)</f>
        <v>353388.499825977</v>
      </c>
      <c r="D11" s="25" t="n">
        <f aca="false">C11/B11</f>
        <v>0.0280747900380648</v>
      </c>
      <c r="E11" s="21" t="n">
        <f aca="false">SUM(E5:E10)</f>
        <v>-49487.489977245</v>
      </c>
      <c r="F11" s="21" t="n">
        <f aca="false">SUM(F5:F10)</f>
        <v>402875.989803222</v>
      </c>
      <c r="G11" s="26" t="n">
        <f aca="false">SUM(品目別試算!$M$5:$M$155)/SUM(品目別試算!$K$5:$K$155)</f>
        <v>0.309558886768358</v>
      </c>
      <c r="H11" s="26" t="n">
        <f aca="false">SUM(品目別試算!$N$5:$N$155)/SUM(品目別試算!$L$5:$L$155)</f>
        <v>0.29728126630553</v>
      </c>
      <c r="I11" s="21" t="n">
        <f aca="false">SUM(I5:I10)</f>
        <v>1463.73825440997</v>
      </c>
      <c r="J11" s="21" t="n">
        <f aca="false">SUM(J5:J10)</f>
        <v>1668.71587034851</v>
      </c>
    </row>
    <row r="13" customFormat="false" ht="15" hidden="false" customHeight="false" outlineLevel="0" collapsed="false">
      <c r="A13" s="23" t="s">
        <v>345</v>
      </c>
      <c r="D13" s="27" t="n">
        <f aca="false">SUMPRODUCT(品目別試算!$D$5:$D$155,品目別試算!$G$5:$G$155-品目別試算!$E$5:$E$155)/前提!B17</f>
        <v>0.0368810593229173</v>
      </c>
    </row>
    <row r="14" customFormat="false" ht="15" hidden="false" customHeight="false" outlineLevel="0" collapsed="false">
      <c r="A14" s="22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5" min="4" style="0" width="11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347</v>
      </c>
    </row>
    <row r="2" customFormat="false" ht="15" hidden="false" customHeight="false" outlineLevel="0" collapsed="false">
      <c r="A2" s="2" t="s">
        <v>348</v>
      </c>
    </row>
    <row r="4" customFormat="false" ht="15" hidden="false" customHeight="false" outlineLevel="0" collapsed="false">
      <c r="A4" s="3" t="s">
        <v>349</v>
      </c>
      <c r="B4" s="3" t="s">
        <v>350</v>
      </c>
      <c r="C4" s="3" t="s">
        <v>351</v>
      </c>
      <c r="D4" s="3" t="s">
        <v>352</v>
      </c>
      <c r="E4" s="3" t="s">
        <v>353</v>
      </c>
      <c r="F4" s="3" t="s">
        <v>354</v>
      </c>
    </row>
    <row r="5" customFormat="false" ht="15" hidden="false" customHeight="false" outlineLevel="0" collapsed="false">
      <c r="A5" s="23" t="s">
        <v>355</v>
      </c>
      <c r="B5" s="13" t="n">
        <f aca="false">前提!B5</f>
        <v>54943.438</v>
      </c>
      <c r="C5" s="13" t="n">
        <f aca="false">前提!B6</f>
        <v>20011.659</v>
      </c>
      <c r="D5" s="28" t="n">
        <f aca="false">C5/B5</f>
        <v>0.364222912297552</v>
      </c>
      <c r="E5" s="29"/>
      <c r="F5" s="4" t="s">
        <v>19</v>
      </c>
    </row>
    <row r="6" customFormat="false" ht="15" hidden="false" customHeight="false" outlineLevel="0" collapsed="false">
      <c r="A6" s="23" t="s">
        <v>356</v>
      </c>
      <c r="B6" s="13" t="n">
        <f aca="false">前提!B5*前提!B19</f>
        <v>54943.438</v>
      </c>
      <c r="C6" s="13" t="n">
        <f aca="false">(前提!B6-前提!$B$25)*前提!B19-前提!B20</f>
        <v>19546.451</v>
      </c>
      <c r="D6" s="28" t="n">
        <f aca="false">C6/B6</f>
        <v>0.355755877526266</v>
      </c>
      <c r="E6" s="29" t="n">
        <f aca="false">(D6-D5)*100</f>
        <v>-0.846703477128602</v>
      </c>
      <c r="F6" s="4" t="s">
        <v>357</v>
      </c>
    </row>
    <row r="7" customFormat="false" ht="15" hidden="false" customHeight="false" outlineLevel="0" collapsed="false">
      <c r="A7" s="23" t="s">
        <v>358</v>
      </c>
      <c r="B7" s="13" t="n">
        <f aca="false">B6+効果サマリー!C11/1000*前提!$B$24</f>
        <v>55675.307127205</v>
      </c>
      <c r="C7" s="13" t="n">
        <f aca="false">C6+効果サマリー!E11/1000*前提!$B$24</f>
        <v>19443.9621920307</v>
      </c>
      <c r="D7" s="28" t="n">
        <f aca="false">C7/B7</f>
        <v>0.349238525934053</v>
      </c>
      <c r="E7" s="29" t="n">
        <f aca="false">(D7-D6)*100</f>
        <v>-0.651735159221339</v>
      </c>
      <c r="F7" s="4" t="s">
        <v>359</v>
      </c>
    </row>
    <row r="8" customFormat="false" ht="15" hidden="false" customHeight="false" outlineLevel="0" collapsed="false">
      <c r="A8" s="23" t="s">
        <v>360</v>
      </c>
      <c r="B8" s="13" t="n">
        <f aca="false">B7</f>
        <v>55675.307127205</v>
      </c>
      <c r="C8" s="13" t="n">
        <f aca="false">B7*前提!$B$22</f>
        <v>18594.6545829471</v>
      </c>
      <c r="D8" s="28" t="n">
        <f aca="false">C8/B8</f>
        <v>0.333983870811215</v>
      </c>
      <c r="E8" s="29" t="n">
        <f aca="false">(D8-D7)*100</f>
        <v>-1.52546551228381</v>
      </c>
      <c r="F8" s="4" t="s">
        <v>361</v>
      </c>
    </row>
    <row r="10" customFormat="false" ht="15" hidden="false" customHeight="false" outlineLevel="0" collapsed="false">
      <c r="A10" s="10" t="s">
        <v>362</v>
      </c>
      <c r="B10" s="30" t="n">
        <f aca="false">C7-C8</f>
        <v>849.3076090836</v>
      </c>
      <c r="C10" s="26" t="n">
        <f aca="false">B10/C7</f>
        <v>0.043679760364464</v>
      </c>
      <c r="D10" s="19"/>
      <c r="E10" s="19"/>
      <c r="F10" s="31" t="s">
        <v>363</v>
      </c>
    </row>
    <row r="12" customFormat="false" ht="15" hidden="false" customHeight="false" outlineLevel="0" collapsed="false">
      <c r="A12" s="23" t="s">
        <v>364</v>
      </c>
      <c r="B12" s="13" t="n">
        <f aca="false">B5+B8</f>
        <v>110618.745127205</v>
      </c>
      <c r="C12" s="13" t="n">
        <f aca="false">C5+C8</f>
        <v>38606.3135829471</v>
      </c>
      <c r="D12" s="28" t="n">
        <f aca="false">C12/B12</f>
        <v>0.349003358685295</v>
      </c>
      <c r="E12" s="29" t="n">
        <f aca="false">(D12-前提!$B$22)*100</f>
        <v>1.50194878740801</v>
      </c>
      <c r="F12" s="4" t="s">
        <v>365</v>
      </c>
    </row>
    <row r="13" customFormat="false" ht="15" hidden="false" customHeight="false" outlineLevel="0" collapsed="false">
      <c r="A13" s="23" t="s">
        <v>366</v>
      </c>
      <c r="B13" s="13" t="n">
        <f aca="false">B8</f>
        <v>55675.307127205</v>
      </c>
      <c r="C13" s="13" t="n">
        <f aca="false">前提!$B$22*(B5+B8)-C5</f>
        <v>16933.2176818631</v>
      </c>
      <c r="D13" s="28" t="n">
        <f aca="false">C13/B13</f>
        <v>0.304142330875242</v>
      </c>
      <c r="E13" s="4"/>
      <c r="F13" s="4" t="s">
        <v>367</v>
      </c>
    </row>
    <row r="14" customFormat="false" ht="15" hidden="false" customHeight="false" outlineLevel="0" collapsed="false">
      <c r="A14" s="10" t="s">
        <v>368</v>
      </c>
      <c r="B14" s="30" t="n">
        <f aca="false">C8-C13</f>
        <v>1661.43690108401</v>
      </c>
      <c r="C14" s="31"/>
      <c r="D14" s="31"/>
      <c r="E14" s="31"/>
      <c r="F14" s="31" t="s">
        <v>369</v>
      </c>
    </row>
    <row r="16" customFormat="false" ht="15" hidden="false" customHeight="false" outlineLevel="0" collapsed="false">
      <c r="A16" s="23" t="s">
        <v>370</v>
      </c>
      <c r="D16" s="27" t="n">
        <f aca="false">(C6/前提!$B$22-B6)/前提!B12</f>
        <v>0.122634724460421</v>
      </c>
      <c r="F16" s="22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54"/>
  </cols>
  <sheetData>
    <row r="1" customFormat="false" ht="17.35" hidden="false" customHeight="false" outlineLevel="0" collapsed="false">
      <c r="A1" s="1" t="s">
        <v>372</v>
      </c>
    </row>
    <row r="2" customFormat="false" ht="15" hidden="false" customHeight="false" outlineLevel="0" collapsed="false">
      <c r="A2" s="2" t="s">
        <v>373</v>
      </c>
    </row>
    <row r="4" customFormat="false" ht="28.35" hidden="false" customHeight="false" outlineLevel="0" collapsed="false">
      <c r="A4" s="3" t="s">
        <v>374</v>
      </c>
      <c r="B4" s="3" t="s">
        <v>375</v>
      </c>
      <c r="C4" s="3" t="s">
        <v>376</v>
      </c>
      <c r="D4" s="3" t="s">
        <v>377</v>
      </c>
    </row>
    <row r="5" customFormat="false" ht="15" hidden="false" customHeight="false" outlineLevel="0" collapsed="false">
      <c r="A5" s="4" t="s">
        <v>31</v>
      </c>
      <c r="B5" s="4"/>
      <c r="C5" s="32" t="n">
        <f aca="false">前提!$B$22</f>
        <v>0.333983870811215</v>
      </c>
      <c r="D5" s="4" t="s">
        <v>32</v>
      </c>
    </row>
    <row r="6" customFormat="false" ht="15" hidden="false" customHeight="false" outlineLevel="0" collapsed="false">
      <c r="A6" s="4" t="s">
        <v>378</v>
      </c>
      <c r="B6" s="13" t="n">
        <f aca="false">前提!B9*前提!B11/前提!B10+前提!B12*前提!B14/前提!B13-前提!$B$22*前提!B5</f>
        <v>107.864631084016</v>
      </c>
      <c r="C6" s="29" t="n">
        <f aca="false">B6/前提!B5*100</f>
        <v>0.196319405938915</v>
      </c>
      <c r="D6" s="4" t="s">
        <v>379</v>
      </c>
    </row>
    <row r="7" customFormat="false" ht="15" hidden="false" customHeight="false" outlineLevel="0" collapsed="false">
      <c r="A7" s="4" t="s">
        <v>380</v>
      </c>
      <c r="B7" s="13" t="n">
        <f aca="false">前提!$B$25</f>
        <v>465.208</v>
      </c>
      <c r="C7" s="29" t="n">
        <f aca="false">B7/前提!B5*100</f>
        <v>0.846703477128607</v>
      </c>
      <c r="D7" s="4" t="s">
        <v>381</v>
      </c>
    </row>
    <row r="8" customFormat="false" ht="15" hidden="false" customHeight="false" outlineLevel="0" collapsed="false">
      <c r="A8" s="4" t="s">
        <v>382</v>
      </c>
      <c r="B8" s="13" t="n">
        <f aca="false">前提!B6-前提!$B$22*前提!B5-B6-B7</f>
        <v>1088.36427</v>
      </c>
      <c r="C8" s="29" t="n">
        <f aca="false">B8/前提!B5*100</f>
        <v>1.98088126556623</v>
      </c>
      <c r="D8" s="4" t="s">
        <v>383</v>
      </c>
    </row>
    <row r="9" customFormat="false" ht="15" hidden="false" customHeight="false" outlineLevel="0" collapsed="false">
      <c r="A9" s="10" t="s">
        <v>384</v>
      </c>
      <c r="B9" s="30" t="n">
        <f aca="false">前提!B6-前提!$B$22*前提!B5</f>
        <v>1661.43690108401</v>
      </c>
      <c r="C9" s="33" t="n">
        <f aca="false">前提!$B$23</f>
        <v>0.364222912297552</v>
      </c>
      <c r="D9" s="19" t="s">
        <v>385</v>
      </c>
    </row>
    <row r="11" customFormat="false" ht="15" hidden="false" customHeight="false" outlineLevel="0" collapsed="false">
      <c r="A11" s="22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2"/>
  </cols>
  <sheetData>
    <row r="1" customFormat="false" ht="19.4" hidden="false" customHeight="false" outlineLevel="0" collapsed="false">
      <c r="A1" s="1" t="s">
        <v>387</v>
      </c>
    </row>
    <row r="2" customFormat="false" ht="15" hidden="false" customHeight="false" outlineLevel="0" collapsed="false">
      <c r="A2" s="2" t="s">
        <v>388</v>
      </c>
    </row>
    <row r="4" customFormat="false" ht="15" hidden="false" customHeight="false" outlineLevel="0" collapsed="false">
      <c r="A4" s="3" t="s">
        <v>389</v>
      </c>
      <c r="B4" s="3" t="s">
        <v>390</v>
      </c>
      <c r="C4" s="3" t="s">
        <v>391</v>
      </c>
      <c r="D4" s="3" t="s">
        <v>392</v>
      </c>
      <c r="E4" s="3" t="s">
        <v>393</v>
      </c>
      <c r="F4" s="3" t="s">
        <v>394</v>
      </c>
    </row>
    <row r="5" customFormat="false" ht="15" hidden="false" customHeight="false" outlineLevel="0" collapsed="false">
      <c r="A5" s="4" t="s">
        <v>395</v>
      </c>
      <c r="B5" s="4" t="s">
        <v>396</v>
      </c>
      <c r="C5" s="4" t="s">
        <v>397</v>
      </c>
      <c r="D5" s="7" t="n">
        <v>429</v>
      </c>
      <c r="E5" s="6" t="s">
        <v>398</v>
      </c>
      <c r="F5" s="4" t="s">
        <v>399</v>
      </c>
    </row>
    <row r="6" customFormat="false" ht="15" hidden="false" customHeight="false" outlineLevel="0" collapsed="false">
      <c r="A6" s="4" t="s">
        <v>395</v>
      </c>
      <c r="B6" s="4" t="s">
        <v>400</v>
      </c>
      <c r="C6" s="4" t="s">
        <v>401</v>
      </c>
      <c r="D6" s="7" t="n">
        <v>390</v>
      </c>
      <c r="E6" s="6" t="s">
        <v>402</v>
      </c>
      <c r="F6" s="6" t="s">
        <v>403</v>
      </c>
    </row>
    <row r="7" customFormat="false" ht="15" hidden="false" customHeight="false" outlineLevel="0" collapsed="false">
      <c r="A7" s="4" t="s">
        <v>395</v>
      </c>
      <c r="B7" s="4" t="s">
        <v>404</v>
      </c>
      <c r="C7" s="4" t="s">
        <v>405</v>
      </c>
      <c r="D7" s="7" t="n">
        <v>499</v>
      </c>
      <c r="E7" s="6" t="s">
        <v>406</v>
      </c>
      <c r="F7" s="6" t="s">
        <v>407</v>
      </c>
    </row>
    <row r="8" customFormat="false" ht="15" hidden="false" customHeight="false" outlineLevel="0" collapsed="false">
      <c r="A8" s="4" t="s">
        <v>395</v>
      </c>
      <c r="B8" s="4" t="s">
        <v>408</v>
      </c>
      <c r="C8" s="4" t="s">
        <v>409</v>
      </c>
      <c r="D8" s="7" t="n">
        <v>410</v>
      </c>
      <c r="E8" s="6" t="s">
        <v>410</v>
      </c>
      <c r="F8" s="6" t="s">
        <v>411</v>
      </c>
    </row>
    <row r="9" customFormat="false" ht="15" hidden="false" customHeight="false" outlineLevel="0" collapsed="false">
      <c r="A9" s="4" t="s">
        <v>395</v>
      </c>
      <c r="B9" s="4" t="s">
        <v>412</v>
      </c>
      <c r="C9" s="4" t="s">
        <v>413</v>
      </c>
      <c r="D9" s="7" t="n">
        <v>780</v>
      </c>
      <c r="E9" s="6" t="s">
        <v>414</v>
      </c>
      <c r="F9" s="6" t="s">
        <v>415</v>
      </c>
    </row>
    <row r="10" customFormat="false" ht="15" hidden="false" customHeight="false" outlineLevel="0" collapsed="false">
      <c r="A10" s="4" t="s">
        <v>395</v>
      </c>
      <c r="B10" s="4" t="s">
        <v>416</v>
      </c>
      <c r="C10" s="4" t="s">
        <v>417</v>
      </c>
      <c r="D10" s="7" t="n">
        <v>1180</v>
      </c>
      <c r="E10" s="6" t="s">
        <v>414</v>
      </c>
      <c r="F10" s="6" t="s">
        <v>415</v>
      </c>
    </row>
    <row r="11" customFormat="false" ht="15" hidden="false" customHeight="false" outlineLevel="0" collapsed="false">
      <c r="A11" s="4" t="s">
        <v>395</v>
      </c>
      <c r="B11" s="4" t="s">
        <v>418</v>
      </c>
      <c r="C11" s="4" t="s">
        <v>419</v>
      </c>
      <c r="D11" s="7" t="n">
        <v>1800</v>
      </c>
      <c r="E11" s="6" t="s">
        <v>414</v>
      </c>
      <c r="F11" s="6" t="s">
        <v>415</v>
      </c>
    </row>
    <row r="12" customFormat="false" ht="15" hidden="false" customHeight="false" outlineLevel="0" collapsed="false">
      <c r="A12" s="4" t="s">
        <v>395</v>
      </c>
      <c r="B12" s="4" t="s">
        <v>420</v>
      </c>
      <c r="C12" s="4" t="s">
        <v>417</v>
      </c>
      <c r="D12" s="7" t="n">
        <v>1940</v>
      </c>
      <c r="E12" s="6" t="s">
        <v>414</v>
      </c>
      <c r="F12" s="6" t="s">
        <v>415</v>
      </c>
    </row>
    <row r="13" customFormat="false" ht="15" hidden="false" customHeight="false" outlineLevel="0" collapsed="false">
      <c r="A13" s="4" t="s">
        <v>395</v>
      </c>
      <c r="B13" s="4" t="s">
        <v>421</v>
      </c>
      <c r="C13" s="4" t="s">
        <v>422</v>
      </c>
      <c r="D13" s="7" t="n">
        <v>1650</v>
      </c>
      <c r="E13" s="6" t="s">
        <v>423</v>
      </c>
      <c r="F13" s="6" t="s">
        <v>424</v>
      </c>
    </row>
    <row r="14" customFormat="false" ht="15" hidden="false" customHeight="false" outlineLevel="0" collapsed="false">
      <c r="A14" s="4" t="s">
        <v>425</v>
      </c>
      <c r="B14" s="4" t="s">
        <v>426</v>
      </c>
      <c r="C14" s="4" t="s">
        <v>427</v>
      </c>
      <c r="D14" s="7" t="n">
        <v>550</v>
      </c>
      <c r="E14" s="6" t="s">
        <v>402</v>
      </c>
      <c r="F14" s="6" t="s">
        <v>428</v>
      </c>
    </row>
    <row r="15" customFormat="false" ht="15" hidden="false" customHeight="false" outlineLevel="0" collapsed="false">
      <c r="A15" s="4" t="s">
        <v>429</v>
      </c>
      <c r="B15" s="4" t="s">
        <v>430</v>
      </c>
      <c r="C15" s="4" t="s">
        <v>431</v>
      </c>
      <c r="D15" s="7" t="n">
        <v>1100</v>
      </c>
      <c r="E15" s="6" t="s">
        <v>432</v>
      </c>
      <c r="F15" s="6" t="s">
        <v>433</v>
      </c>
    </row>
    <row r="16" customFormat="false" ht="15" hidden="false" customHeight="false" outlineLevel="0" collapsed="false">
      <c r="A16" s="4" t="s">
        <v>429</v>
      </c>
      <c r="B16" s="4" t="s">
        <v>430</v>
      </c>
      <c r="C16" s="4" t="s">
        <v>434</v>
      </c>
      <c r="D16" s="7" t="n">
        <v>550</v>
      </c>
      <c r="E16" s="6" t="s">
        <v>432</v>
      </c>
      <c r="F16" s="6" t="s">
        <v>433</v>
      </c>
    </row>
    <row r="17" customFormat="false" ht="15" hidden="false" customHeight="false" outlineLevel="0" collapsed="false">
      <c r="A17" s="4" t="s">
        <v>429</v>
      </c>
      <c r="B17" s="4" t="s">
        <v>435</v>
      </c>
      <c r="C17" s="4" t="s">
        <v>436</v>
      </c>
      <c r="D17" s="7" t="n">
        <v>850</v>
      </c>
      <c r="E17" s="6" t="s">
        <v>437</v>
      </c>
      <c r="F17" s="6" t="s">
        <v>438</v>
      </c>
    </row>
    <row r="18" customFormat="false" ht="15" hidden="false" customHeight="false" outlineLevel="0" collapsed="false">
      <c r="A18" s="4" t="s">
        <v>429</v>
      </c>
      <c r="B18" s="4" t="s">
        <v>439</v>
      </c>
      <c r="C18" s="4" t="s">
        <v>436</v>
      </c>
      <c r="D18" s="7" t="n">
        <v>600</v>
      </c>
      <c r="E18" s="6" t="s">
        <v>440</v>
      </c>
      <c r="F18" s="6" t="s">
        <v>441</v>
      </c>
    </row>
    <row r="19" customFormat="false" ht="15" hidden="false" customHeight="false" outlineLevel="0" collapsed="false">
      <c r="A19" s="4" t="s">
        <v>429</v>
      </c>
      <c r="B19" s="6" t="s">
        <v>442</v>
      </c>
      <c r="C19" s="4" t="s">
        <v>443</v>
      </c>
      <c r="D19" s="7" t="n">
        <v>1290</v>
      </c>
      <c r="E19" s="6" t="s">
        <v>444</v>
      </c>
      <c r="F19" s="6" t="s">
        <v>445</v>
      </c>
    </row>
    <row r="20" customFormat="false" ht="15" hidden="false" customHeight="false" outlineLevel="0" collapsed="false">
      <c r="A20" s="4" t="s">
        <v>429</v>
      </c>
      <c r="B20" s="6" t="s">
        <v>442</v>
      </c>
      <c r="C20" s="4" t="s">
        <v>446</v>
      </c>
      <c r="D20" s="7" t="n">
        <v>650</v>
      </c>
      <c r="E20" s="6" t="s">
        <v>444</v>
      </c>
      <c r="F20" s="6" t="s">
        <v>445</v>
      </c>
    </row>
    <row r="21" customFormat="false" ht="15" hidden="false" customHeight="false" outlineLevel="0" collapsed="false">
      <c r="A21" s="4" t="s">
        <v>429</v>
      </c>
      <c r="B21" s="6" t="s">
        <v>447</v>
      </c>
      <c r="C21" s="4" t="s">
        <v>63</v>
      </c>
      <c r="D21" s="7" t="n">
        <v>1200</v>
      </c>
      <c r="E21" s="6" t="s">
        <v>448</v>
      </c>
      <c r="F21" s="6" t="s">
        <v>449</v>
      </c>
    </row>
    <row r="22" customFormat="false" ht="15" hidden="false" customHeight="false" outlineLevel="0" collapsed="false">
      <c r="A22" s="4" t="s">
        <v>429</v>
      </c>
      <c r="B22" s="4" t="s">
        <v>450</v>
      </c>
      <c r="C22" s="4" t="s">
        <v>451</v>
      </c>
      <c r="D22" s="7" t="n">
        <v>850</v>
      </c>
      <c r="E22" s="6" t="s">
        <v>452</v>
      </c>
      <c r="F22" s="4" t="s">
        <v>399</v>
      </c>
    </row>
    <row r="23" customFormat="false" ht="15" hidden="false" customHeight="false" outlineLevel="0" collapsed="false">
      <c r="A23" s="4" t="s">
        <v>429</v>
      </c>
      <c r="B23" s="4" t="s">
        <v>453</v>
      </c>
      <c r="C23" s="4" t="s">
        <v>401</v>
      </c>
      <c r="D23" s="7" t="n">
        <v>500</v>
      </c>
      <c r="E23" s="6" t="s">
        <v>454</v>
      </c>
      <c r="F23" s="6" t="s">
        <v>455</v>
      </c>
    </row>
    <row r="25" customFormat="false" ht="15" hidden="false" customHeight="false" outlineLevel="0" collapsed="false">
      <c r="A25" s="22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2026-10-17T15:53:24Z</dcterms:created>
  <dc:creator>openpyxl</dc:creator>
  <dc:description/>
  <dc:language>en-US</dc:language>
  <cp:lastModifiedBy/>
  <dcterms:modified xsi:type="dcterms:W3CDTF">2026-10-17T15:53:24Z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