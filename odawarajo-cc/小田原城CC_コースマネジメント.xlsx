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コース概要" sheetId="1" state="visible" r:id="rId1"/>
    <sheet xmlns:r="http://schemas.openxmlformats.org/officeDocument/2006/relationships" name="ヤーデージ" sheetId="2" state="visible" r:id="rId2"/>
    <sheet xmlns:r="http://schemas.openxmlformats.org/officeDocument/2006/relationships" name="ホール別マネジメント" sheetId="3" state="visible" r:id="rId3"/>
    <sheet xmlns:r="http://schemas.openxmlformats.org/officeDocument/2006/relationships" name="ラウンド記録" sheetId="4" state="visible" r:id="rId4"/>
    <sheet xmlns:r="http://schemas.openxmlformats.org/officeDocument/2006/relationships" name="出典・注意事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3D"/>
      <sz val="14"/>
    </font>
    <font>
      <b val="1"/>
      <sz val="12"/>
    </font>
    <font>
      <b val="1"/>
    </font>
    <font>
      <b val="1"/>
      <color rgb="00C0000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3D"/>
      </patternFill>
    </fill>
    <fill>
      <patternFill patternType="solid">
        <fgColor rgb="00E8F3EC"/>
      </patternFill>
    </fill>
    <fill>
      <patternFill patternType="solid">
        <fgColor rgb="00FFF2CC"/>
      </patternFill>
    </fill>
    <fill>
      <patternFill patternType="solid">
        <fgColor rgb="00EAF1F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" t="inlineStr">
        <is>
          <t>小田原城カントリー倶楽部 18ホール コースマネジメントデータ</t>
        </is>
      </c>
      <c r="B1" t="inlineStr"/>
    </row>
    <row r="2">
      <c r="A2" t="inlineStr"/>
      <c r="B2" t="inlineStr"/>
    </row>
    <row r="3">
      <c r="A3" s="2" t="inlineStr">
        <is>
          <t>所在地</t>
        </is>
      </c>
      <c r="B3" s="3" t="inlineStr">
        <is>
          <t>神奈川県小田原市根府川（石橋ICから約10km、山道）</t>
        </is>
      </c>
    </row>
    <row r="4">
      <c r="A4" s="2" t="inlineStr">
        <is>
          <t>コース形態</t>
        </is>
      </c>
      <c r="B4" s="3" t="inlineStr">
        <is>
          <t>山岳コース／相模湾を望む眺望</t>
        </is>
      </c>
    </row>
    <row r="5">
      <c r="A5" s="2" t="inlineStr">
        <is>
          <t>パー</t>
        </is>
      </c>
      <c r="B5" s="3" t="inlineStr">
        <is>
          <t>72（OUT 36 / IN 36）</t>
        </is>
      </c>
    </row>
    <row r="6">
      <c r="A6" s="2" t="inlineStr">
        <is>
          <t>総ヤード（バック）</t>
        </is>
      </c>
      <c r="B6" s="3" t="inlineStr">
        <is>
          <t>6,350Y（OUT 3,216 / IN 3,134）</t>
        </is>
      </c>
    </row>
    <row r="7">
      <c r="A7" s="2" t="inlineStr">
        <is>
          <t>総ヤード（レギュラー）</t>
        </is>
      </c>
      <c r="B7" s="3" t="inlineStr">
        <is>
          <t>6,080Y（OUT 3,102 / IN 2,978）</t>
        </is>
      </c>
    </row>
    <row r="8">
      <c r="A8" s="2" t="inlineStr">
        <is>
          <t>総ヤード（レディース）</t>
        </is>
      </c>
      <c r="B8" s="3" t="inlineStr">
        <is>
          <t>5,366Y（OUT 2,790 / IN 2,576）</t>
        </is>
      </c>
    </row>
    <row r="9">
      <c r="A9" s="2" t="inlineStr">
        <is>
          <t>コースレート</t>
        </is>
      </c>
      <c r="B9" s="3" t="inlineStr">
        <is>
          <t>バック 66.8 / レギュラー 65.8（楽天GORA掲載値）</t>
        </is>
      </c>
    </row>
    <row r="10">
      <c r="A10" s="2" t="inlineStr">
        <is>
          <t>グリーン</t>
        </is>
      </c>
      <c r="B10" s="3" t="inlineStr">
        <is>
          <t>ベント 1グリーン</t>
        </is>
      </c>
    </row>
    <row r="11">
      <c r="A11" s="2" t="inlineStr">
        <is>
          <t>ドラコン推奨</t>
        </is>
      </c>
      <c r="B11" s="3" t="inlineStr">
        <is>
          <t>OUT 4番 / IN 18番</t>
        </is>
      </c>
    </row>
    <row r="12">
      <c r="A12" s="2" t="inlineStr">
        <is>
          <t>ニアピン推奨</t>
        </is>
      </c>
      <c r="B12" s="3" t="inlineStr">
        <is>
          <t>OUT 9番 / IN 14番</t>
        </is>
      </c>
    </row>
    <row r="13">
      <c r="A13" s="3" t="inlineStr"/>
      <c r="B13" s="3" t="inlineStr"/>
    </row>
    <row r="14">
      <c r="A14" s="4" t="inlineStr">
        <is>
          <t>攻略の基本方針</t>
        </is>
      </c>
      <c r="B14" s="3" t="inlineStr"/>
    </row>
    <row r="15">
      <c r="A15" s="3" t="inlineStr">
        <is>
          <t>①</t>
        </is>
      </c>
      <c r="B15" s="3" t="inlineStr">
        <is>
          <t>飛距離より方向性。FWが狭く、左右OBのホールが多い。ドライバーを持たない選択も有効。</t>
        </is>
      </c>
    </row>
    <row r="16">
      <c r="A16" s="3" t="inlineStr">
        <is>
          <t>②</t>
        </is>
      </c>
      <c r="B16" s="3" t="inlineStr">
        <is>
          <t>打ち上げ・打ち下ろしが多い。打ち上げは+1番手、打ち下ろしは-1番手が目安。</t>
        </is>
      </c>
    </row>
    <row r="17">
      <c r="A17" s="3" t="inlineStr">
        <is>
          <t>③</t>
        </is>
      </c>
      <c r="B17" s="3" t="inlineStr">
        <is>
          <t>グリーンは傾斜がきつく砲台が多い。芝目は「山→海」が順目で、傾斜より芝目が効く場面あり。</t>
        </is>
      </c>
    </row>
    <row r="18">
      <c r="A18" s="3" t="inlineStr">
        <is>
          <t>④</t>
        </is>
      </c>
      <c r="B18" s="3" t="inlineStr">
        <is>
          <t>標高が高く風・霧の影響を受けやすい。ティーで風向きを必ず確認。</t>
        </is>
      </c>
    </row>
    <row r="19">
      <c r="A19" s="3" t="inlineStr">
        <is>
          <t>⑤</t>
        </is>
      </c>
      <c r="B19" s="3" t="inlineStr">
        <is>
          <t>パーを狙うホール：3・5・8・12・15・16番（短いパー4/平坦）。ボギーで良しのホール：6・18・1・10・11番。</t>
        </is>
      </c>
    </row>
    <row r="20">
      <c r="A20" s="3" t="inlineStr">
        <is>
          <t>⑥</t>
        </is>
      </c>
      <c r="B20" s="3" t="inlineStr">
        <is>
          <t>いのししゾーン（荒れた地面）に入るとボールが埋まることがある。</t>
        </is>
      </c>
    </row>
    <row r="21">
      <c r="A21" s="3" t="inlineStr"/>
      <c r="B21" s="3" t="inlineStr"/>
    </row>
    <row r="22">
      <c r="A22" s="5" t="inlineStr">
        <is>
          <t>注意</t>
        </is>
      </c>
      <c r="B22" s="3" t="inlineStr">
        <is>
          <t>11番は暫定グリーン（パー3運用）の案内が出ていた時期あり。ヤーデージ・HDCPは出典により差異があるため、プレー前に最新のスコアカードで確認してください。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7" customWidth="1" min="3" max="3"/>
    <col width="11" customWidth="1" min="4" max="4"/>
    <col width="13" customWidth="1" min="5" max="5"/>
    <col width="12" customWidth="1" min="6" max="6"/>
    <col width="12" customWidth="1" min="7" max="7"/>
  </cols>
  <sheetData>
    <row r="1">
      <c r="A1" s="6" t="inlineStr">
        <is>
          <t>ホール</t>
        </is>
      </c>
      <c r="B1" s="6" t="inlineStr">
        <is>
          <t>パー</t>
        </is>
      </c>
      <c r="C1" s="6" t="inlineStr">
        <is>
          <t>HDCP</t>
        </is>
      </c>
      <c r="D1" s="6" t="inlineStr">
        <is>
          <t>バック(Y)</t>
        </is>
      </c>
      <c r="E1" s="6" t="inlineStr">
        <is>
          <t>レギュラー(Y)</t>
        </is>
      </c>
      <c r="F1" s="6" t="inlineStr">
        <is>
          <t>100切り目標</t>
        </is>
      </c>
      <c r="G1" s="6" t="inlineStr">
        <is>
          <t>90切り目標</t>
        </is>
      </c>
    </row>
    <row r="2">
      <c r="A2" s="7" t="n">
        <v>1</v>
      </c>
      <c r="B2" s="7" t="n">
        <v>4</v>
      </c>
      <c r="C2" s="7" t="n">
        <v>3</v>
      </c>
      <c r="D2" s="7" t="n">
        <v>395</v>
      </c>
      <c r="E2" s="7" t="n">
        <v>380</v>
      </c>
      <c r="F2" s="7" t="n">
        <v>6</v>
      </c>
      <c r="G2" s="7" t="n">
        <v>5</v>
      </c>
    </row>
    <row r="3">
      <c r="A3" s="7" t="n">
        <v>2</v>
      </c>
      <c r="B3" s="7" t="n">
        <v>3</v>
      </c>
      <c r="C3" s="7" t="n">
        <v>9</v>
      </c>
      <c r="D3" s="7" t="n">
        <v>210</v>
      </c>
      <c r="E3" s="7" t="n">
        <v>192</v>
      </c>
      <c r="F3" s="7" t="n">
        <v>5</v>
      </c>
      <c r="G3" s="7" t="n">
        <v>4</v>
      </c>
    </row>
    <row r="4">
      <c r="A4" s="7" t="n">
        <v>3</v>
      </c>
      <c r="B4" s="7" t="n">
        <v>4</v>
      </c>
      <c r="C4" s="7" t="n">
        <v>15</v>
      </c>
      <c r="D4" s="7" t="n">
        <v>306</v>
      </c>
      <c r="E4" s="7" t="n">
        <v>294</v>
      </c>
      <c r="F4" s="7" t="n">
        <v>5</v>
      </c>
      <c r="G4" s="7" t="n">
        <v>5</v>
      </c>
    </row>
    <row r="5">
      <c r="A5" s="7" t="n">
        <v>4</v>
      </c>
      <c r="B5" s="7" t="n">
        <v>4</v>
      </c>
      <c r="C5" s="7" t="n">
        <v>7</v>
      </c>
      <c r="D5" s="7" t="n">
        <v>386</v>
      </c>
      <c r="E5" s="7" t="n">
        <v>370</v>
      </c>
      <c r="F5" s="7" t="n">
        <v>6</v>
      </c>
      <c r="G5" s="7" t="n">
        <v>5</v>
      </c>
    </row>
    <row r="6">
      <c r="A6" s="7" t="n">
        <v>5</v>
      </c>
      <c r="B6" s="7" t="n">
        <v>4</v>
      </c>
      <c r="C6" s="7" t="n">
        <v>13</v>
      </c>
      <c r="D6" s="7" t="n">
        <v>323</v>
      </c>
      <c r="E6" s="7" t="n">
        <v>313</v>
      </c>
      <c r="F6" s="7" t="n">
        <v>5</v>
      </c>
      <c r="G6" s="7" t="n">
        <v>5</v>
      </c>
    </row>
    <row r="7">
      <c r="A7" s="7" t="n">
        <v>6</v>
      </c>
      <c r="B7" s="7" t="n">
        <v>5</v>
      </c>
      <c r="C7" s="7" t="n">
        <v>1</v>
      </c>
      <c r="D7" s="7" t="n">
        <v>638</v>
      </c>
      <c r="E7" s="7" t="n">
        <v>626</v>
      </c>
      <c r="F7" s="7" t="n">
        <v>7</v>
      </c>
      <c r="G7" s="7" t="n">
        <v>6</v>
      </c>
    </row>
    <row r="8">
      <c r="A8" s="7" t="n">
        <v>7</v>
      </c>
      <c r="B8" s="7" t="n">
        <v>5</v>
      </c>
      <c r="C8" s="7" t="n">
        <v>5</v>
      </c>
      <c r="D8" s="7" t="n">
        <v>463</v>
      </c>
      <c r="E8" s="7" t="n">
        <v>453</v>
      </c>
      <c r="F8" s="7" t="n">
        <v>7</v>
      </c>
      <c r="G8" s="7" t="n">
        <v>6</v>
      </c>
    </row>
    <row r="9">
      <c r="A9" s="7" t="n">
        <v>8</v>
      </c>
      <c r="B9" s="7" t="n">
        <v>4</v>
      </c>
      <c r="C9" s="7" t="n">
        <v>11</v>
      </c>
      <c r="D9" s="7" t="n">
        <v>286</v>
      </c>
      <c r="E9" s="7" t="n">
        <v>276</v>
      </c>
      <c r="F9" s="7" t="n">
        <v>5</v>
      </c>
      <c r="G9" s="7" t="n">
        <v>5</v>
      </c>
    </row>
    <row r="10">
      <c r="A10" s="7" t="n">
        <v>9</v>
      </c>
      <c r="B10" s="7" t="n">
        <v>3</v>
      </c>
      <c r="C10" s="7" t="n">
        <v>17</v>
      </c>
      <c r="D10" s="7" t="n">
        <v>209</v>
      </c>
      <c r="E10" s="7" t="n">
        <v>198</v>
      </c>
      <c r="F10" s="7" t="n">
        <v>4</v>
      </c>
      <c r="G10" s="7" t="n">
        <v>3</v>
      </c>
    </row>
    <row r="11">
      <c r="A11" s="8" t="inlineStr">
        <is>
          <t>OUT</t>
        </is>
      </c>
      <c r="B11" s="8">
        <f>SUM(B2:B10)</f>
        <v/>
      </c>
      <c r="C11" s="8" t="inlineStr"/>
      <c r="D11" s="8">
        <f>SUM(D2:D10)</f>
        <v/>
      </c>
      <c r="E11" s="8">
        <f>SUM(E2:E10)</f>
        <v/>
      </c>
      <c r="F11" s="8">
        <f>SUM(F2:F10)</f>
        <v/>
      </c>
      <c r="G11" s="8">
        <f>SUM(G2:G10)</f>
        <v/>
      </c>
    </row>
    <row r="12">
      <c r="A12" s="9" t="n">
        <v>10</v>
      </c>
      <c r="B12" s="9" t="n">
        <v>4</v>
      </c>
      <c r="C12" s="9" t="n">
        <v>4</v>
      </c>
      <c r="D12" s="9" t="n">
        <v>390</v>
      </c>
      <c r="E12" s="9" t="n">
        <v>377</v>
      </c>
      <c r="F12" s="9" t="n">
        <v>6</v>
      </c>
      <c r="G12" s="9" t="n">
        <v>5</v>
      </c>
    </row>
    <row r="13">
      <c r="A13" s="9" t="n">
        <v>11</v>
      </c>
      <c r="B13" s="9" t="n">
        <v>4</v>
      </c>
      <c r="C13" s="9" t="n">
        <v>6</v>
      </c>
      <c r="D13" s="9" t="n">
        <v>388</v>
      </c>
      <c r="E13" s="9" t="n">
        <v>369</v>
      </c>
      <c r="F13" s="9" t="n">
        <v>6</v>
      </c>
      <c r="G13" s="9" t="n">
        <v>5</v>
      </c>
    </row>
    <row r="14">
      <c r="A14" s="9" t="n">
        <v>12</v>
      </c>
      <c r="B14" s="9" t="n">
        <v>4</v>
      </c>
      <c r="C14" s="9" t="n">
        <v>18</v>
      </c>
      <c r="D14" s="9" t="n">
        <v>365</v>
      </c>
      <c r="E14" s="9" t="n">
        <v>346</v>
      </c>
      <c r="F14" s="9" t="n">
        <v>5</v>
      </c>
      <c r="G14" s="9" t="n">
        <v>4</v>
      </c>
    </row>
    <row r="15">
      <c r="A15" s="9" t="n">
        <v>13</v>
      </c>
      <c r="B15" s="9" t="n">
        <v>5</v>
      </c>
      <c r="C15" s="9" t="n">
        <v>10</v>
      </c>
      <c r="D15" s="9" t="n">
        <v>494</v>
      </c>
      <c r="E15" s="9" t="n">
        <v>484</v>
      </c>
      <c r="F15" s="9" t="n">
        <v>6</v>
      </c>
      <c r="G15" s="9" t="n">
        <v>6</v>
      </c>
    </row>
    <row r="16">
      <c r="A16" s="9" t="n">
        <v>14</v>
      </c>
      <c r="B16" s="9" t="n">
        <v>3</v>
      </c>
      <c r="C16" s="9" t="n">
        <v>8</v>
      </c>
      <c r="D16" s="9" t="n">
        <v>210</v>
      </c>
      <c r="E16" s="9" t="n">
        <v>168</v>
      </c>
      <c r="F16" s="9" t="n">
        <v>5</v>
      </c>
      <c r="G16" s="9" t="n">
        <v>4</v>
      </c>
    </row>
    <row r="17">
      <c r="A17" s="9" t="n">
        <v>15</v>
      </c>
      <c r="B17" s="9" t="n">
        <v>4</v>
      </c>
      <c r="C17" s="9" t="n">
        <v>14</v>
      </c>
      <c r="D17" s="9" t="n">
        <v>325</v>
      </c>
      <c r="E17" s="9" t="n">
        <v>315</v>
      </c>
      <c r="F17" s="9" t="n">
        <v>5</v>
      </c>
      <c r="G17" s="9" t="n">
        <v>5</v>
      </c>
    </row>
    <row r="18">
      <c r="A18" s="9" t="n">
        <v>16</v>
      </c>
      <c r="B18" s="9" t="n">
        <v>4</v>
      </c>
      <c r="C18" s="9" t="n">
        <v>12</v>
      </c>
      <c r="D18" s="9" t="n">
        <v>337</v>
      </c>
      <c r="E18" s="9" t="n">
        <v>326</v>
      </c>
      <c r="F18" s="9" t="n">
        <v>5</v>
      </c>
      <c r="G18" s="9" t="n">
        <v>5</v>
      </c>
    </row>
    <row r="19">
      <c r="A19" s="9" t="n">
        <v>17</v>
      </c>
      <c r="B19" s="9" t="n">
        <v>3</v>
      </c>
      <c r="C19" s="9" t="n">
        <v>16</v>
      </c>
      <c r="D19" s="9" t="n">
        <v>169</v>
      </c>
      <c r="E19" s="9" t="n">
        <v>158</v>
      </c>
      <c r="F19" s="9" t="n">
        <v>4</v>
      </c>
      <c r="G19" s="9" t="n">
        <v>3</v>
      </c>
    </row>
    <row r="20">
      <c r="A20" s="9" t="n">
        <v>18</v>
      </c>
      <c r="B20" s="9" t="n">
        <v>5</v>
      </c>
      <c r="C20" s="9" t="n">
        <v>2</v>
      </c>
      <c r="D20" s="9" t="n">
        <v>456</v>
      </c>
      <c r="E20" s="9" t="n">
        <v>435</v>
      </c>
      <c r="F20" s="9" t="n">
        <v>7</v>
      </c>
      <c r="G20" s="9" t="n">
        <v>6</v>
      </c>
    </row>
    <row r="21">
      <c r="A21" s="8" t="inlineStr">
        <is>
          <t>IN</t>
        </is>
      </c>
      <c r="B21" s="8">
        <f>SUM(B12:B20)</f>
        <v/>
      </c>
      <c r="C21" s="8" t="inlineStr"/>
      <c r="D21" s="8">
        <f>SUM(D12:D20)</f>
        <v/>
      </c>
      <c r="E21" s="8">
        <f>SUM(E12:E20)</f>
        <v/>
      </c>
      <c r="F21" s="8">
        <f>SUM(F12:F20)</f>
        <v/>
      </c>
      <c r="G21" s="8">
        <f>SUM(G12:G20)</f>
        <v/>
      </c>
    </row>
    <row r="22">
      <c r="A22" s="6" t="inlineStr">
        <is>
          <t>TOTAL</t>
        </is>
      </c>
      <c r="B22" s="6">
        <f>B11+B21</f>
        <v/>
      </c>
      <c r="C22" s="6" t="inlineStr"/>
      <c r="D22" s="6">
        <f>D11+D21</f>
        <v/>
      </c>
      <c r="E22" s="6">
        <f>E11+E21</f>
        <v/>
      </c>
      <c r="F22" s="6">
        <f>F11+F21</f>
        <v/>
      </c>
      <c r="G22" s="6">
        <f>G11+G21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9" customWidth="1" min="3" max="3"/>
    <col width="6" customWidth="1" min="4" max="4"/>
    <col width="34" customWidth="1" min="5" max="5"/>
    <col width="34" customWidth="1" min="6" max="6"/>
    <col width="30" customWidth="1" min="7" max="7"/>
    <col width="28" customWidth="1" min="8" max="8"/>
    <col width="18" customWidth="1" min="9" max="9"/>
    <col width="16" customWidth="1" min="10" max="10"/>
    <col width="9" customWidth="1" min="11" max="11"/>
  </cols>
  <sheetData>
    <row r="1">
      <c r="A1" s="6" t="inlineStr">
        <is>
          <t>ホール</t>
        </is>
      </c>
      <c r="B1" s="6" t="inlineStr">
        <is>
          <t>パー</t>
        </is>
      </c>
      <c r="C1" s="6" t="inlineStr">
        <is>
          <t>レギュラー(Y)</t>
        </is>
      </c>
      <c r="D1" s="6" t="inlineStr">
        <is>
          <t>HDCP</t>
        </is>
      </c>
      <c r="E1" s="6" t="inlineStr">
        <is>
          <t>コース特徴・ハザード</t>
        </is>
      </c>
      <c r="F1" s="6" t="inlineStr">
        <is>
          <t>ティーショット戦略</t>
        </is>
      </c>
      <c r="G1" s="6" t="inlineStr">
        <is>
          <t>2打目以降</t>
        </is>
      </c>
      <c r="H1" s="6" t="inlineStr">
        <is>
          <t>グリーン周り・パット</t>
        </is>
      </c>
      <c r="I1" s="6" t="inlineStr">
        <is>
          <t>危険ゾーン</t>
        </is>
      </c>
      <c r="J1" s="6" t="inlineStr">
        <is>
          <t>推奨ティークラブ</t>
        </is>
      </c>
      <c r="K1" s="6" t="inlineStr">
        <is>
          <t>90切り目標</t>
        </is>
      </c>
    </row>
    <row r="2">
      <c r="A2" s="7" t="n">
        <v>1</v>
      </c>
      <c r="B2" s="7" t="n">
        <v>4</v>
      </c>
      <c r="C2" s="7" t="n">
        <v>380</v>
      </c>
      <c r="D2" s="10" t="n">
        <v>3</v>
      </c>
      <c r="E2" s="11" t="inlineStr">
        <is>
          <t>打ち上げの左ドッグレッグ。左OB、左は崖下。</t>
        </is>
      </c>
      <c r="F2" s="11" t="inlineStr">
        <is>
          <t>左の崖を避けFW右サイド狙い。無理に角を詰めない。</t>
        </is>
      </c>
      <c r="G2" s="11" t="inlineStr">
        <is>
          <t>打ち上げなので番手を1つ上げる。</t>
        </is>
      </c>
      <c r="H2" s="11" t="inlineStr">
        <is>
          <t>手前から。砲台気味なのでショート厳禁。</t>
        </is>
      </c>
      <c r="I2" s="11" t="inlineStr">
        <is>
          <t>左サイド全域（OB・崖）</t>
        </is>
      </c>
      <c r="J2" s="11" t="inlineStr">
        <is>
          <t>ドライバー or 3W</t>
        </is>
      </c>
      <c r="K2" s="7" t="n">
        <v>5</v>
      </c>
    </row>
    <row r="3">
      <c r="A3" s="7" t="n">
        <v>2</v>
      </c>
      <c r="B3" s="7" t="n">
        <v>3</v>
      </c>
      <c r="C3" s="7" t="n">
        <v>192</v>
      </c>
      <c r="D3" s="7" t="n">
        <v>9</v>
      </c>
      <c r="E3" s="11" t="inlineStr">
        <is>
          <t>打ち下ろしのパー3。左OB・右1ペナ。グリーンは右に傾斜。</t>
        </is>
      </c>
      <c r="F3" s="11" t="inlineStr">
        <is>
          <t>打ち下ろし分1番手落とし、グリーン左寄りセンター狙い。</t>
        </is>
      </c>
      <c r="G3" s="11" t="inlineStr">
        <is>
          <t>—</t>
        </is>
      </c>
      <c r="H3" s="11" t="inlineStr">
        <is>
          <t>右からの傾斜を利用。外したら右手前が安全。</t>
        </is>
      </c>
      <c r="I3" s="11" t="inlineStr">
        <is>
          <t>左（OB）</t>
        </is>
      </c>
      <c r="J3" s="11" t="inlineStr">
        <is>
          <t>UT/5I（打ち下ろし考慮）</t>
        </is>
      </c>
      <c r="K3" s="7" t="n">
        <v>4</v>
      </c>
    </row>
    <row r="4">
      <c r="A4" s="7" t="n">
        <v>3</v>
      </c>
      <c r="B4" s="7" t="n">
        <v>4</v>
      </c>
      <c r="C4" s="7" t="n">
        <v>294</v>
      </c>
      <c r="D4" s="7" t="n">
        <v>15</v>
      </c>
      <c r="E4" s="11" t="inlineStr">
        <is>
          <t>砲台グリーンのパー4。右に池、左OB・右1ペナ。</t>
        </is>
      </c>
      <c r="F4" s="11" t="inlineStr">
        <is>
          <t>短いのでドライバー不要。UT/5Iで150Y残しのFWセンター。</t>
        </is>
      </c>
      <c r="G4" s="11" t="inlineStr">
        <is>
          <t>砲台グリーンへはキャリーで乗せる番手選択。</t>
        </is>
      </c>
      <c r="H4" s="11" t="inlineStr">
        <is>
          <t>手前花道からのアプローチを想定。</t>
        </is>
      </c>
      <c r="I4" s="11" t="inlineStr">
        <is>
          <t>右の池、左OB</t>
        </is>
      </c>
      <c r="J4" s="11" t="inlineStr">
        <is>
          <t>UT or 5I</t>
        </is>
      </c>
      <c r="K4" s="7" t="n">
        <v>5</v>
      </c>
    </row>
    <row r="5">
      <c r="A5" s="7" t="n">
        <v>4</v>
      </c>
      <c r="B5" s="7" t="n">
        <v>4</v>
      </c>
      <c r="C5" s="7" t="n">
        <v>370</v>
      </c>
      <c r="D5" s="7" t="n">
        <v>7</v>
      </c>
      <c r="E5" s="11" t="inlineStr">
        <is>
          <t>かなりの打ち上げのパー4。ドラコン推奨ホール。</t>
        </is>
      </c>
      <c r="F5" s="11" t="inlineStr">
        <is>
          <t>やや左サイド狙い。打ち上げで距離が出ないので強振より芯。</t>
        </is>
      </c>
      <c r="G5" s="11" t="inlineStr">
        <is>
          <t>残り距離＋10〜15Yの番手で。</t>
        </is>
      </c>
      <c r="H5" s="11" t="inlineStr">
        <is>
          <t>ボギーOK。乗らなければ寄せワン狙い。</t>
        </is>
      </c>
      <c r="I5" s="11" t="inlineStr">
        <is>
          <t>ショット短め（打ち上げでショート）</t>
        </is>
      </c>
      <c r="J5" s="11" t="inlineStr">
        <is>
          <t>ドライバー</t>
        </is>
      </c>
      <c r="K5" s="7" t="n">
        <v>5</v>
      </c>
    </row>
    <row r="6">
      <c r="A6" s="7" t="n">
        <v>5</v>
      </c>
      <c r="B6" s="7" t="n">
        <v>4</v>
      </c>
      <c r="C6" s="7" t="n">
        <v>313</v>
      </c>
      <c r="D6" s="7" t="n">
        <v>13</v>
      </c>
      <c r="E6" s="11" t="inlineStr">
        <is>
          <t>距離の短いパー4。左OB・右1ペナ（FW左に池の記載あり）。</t>
        </is>
      </c>
      <c r="F6" s="11" t="inlineStr">
        <is>
          <t>刻んでFWキープ優先。左は絶対に避ける。</t>
        </is>
      </c>
      <c r="G6" s="11" t="inlineStr">
        <is>
          <t>ショートアイアンでピンを狙えるチャンスホール。</t>
        </is>
      </c>
      <c r="H6" s="11" t="inlineStr">
        <is>
          <t>パーを取りに行くホール。</t>
        </is>
      </c>
      <c r="I6" s="11" t="inlineStr">
        <is>
          <t>左（OB・池）</t>
        </is>
      </c>
      <c r="J6" s="11" t="inlineStr">
        <is>
          <t>UT or 5W</t>
        </is>
      </c>
      <c r="K6" s="7" t="n">
        <v>5</v>
      </c>
    </row>
    <row r="7">
      <c r="A7" s="7" t="n">
        <v>6</v>
      </c>
      <c r="B7" s="7" t="n">
        <v>5</v>
      </c>
      <c r="C7" s="7" t="n">
        <v>626</v>
      </c>
      <c r="D7" s="10" t="n">
        <v>1</v>
      </c>
      <c r="E7" s="11" t="inlineStr">
        <is>
          <t>HDCP1。最長626Y。狭く長く打ち下ろしが続く蛇行コース、2打目からグリーンが見えない。左右OB。</t>
        </is>
      </c>
      <c r="F7" s="11" t="inlineStr">
        <is>
          <t>飛距離より方向性。FWに置けるクラブで。</t>
        </is>
      </c>
      <c r="G7" s="11" t="inlineStr">
        <is>
          <t>3打で届かない前提で、3〜4打でグリーン手前に運ぶ。曲がり角の先は見えないので狙い所を確認。</t>
        </is>
      </c>
      <c r="H7" s="11" t="inlineStr">
        <is>
          <t>ボギーで上出来。ダボを打たない。</t>
        </is>
      </c>
      <c r="I7" s="11" t="inlineStr">
        <is>
          <t>左右（OB）</t>
        </is>
      </c>
      <c r="J7" s="11" t="inlineStr">
        <is>
          <t>3W or UT</t>
        </is>
      </c>
      <c r="K7" s="7" t="n">
        <v>6</v>
      </c>
    </row>
    <row r="8">
      <c r="A8" s="7" t="n">
        <v>7</v>
      </c>
      <c r="B8" s="7" t="n">
        <v>5</v>
      </c>
      <c r="C8" s="7" t="n">
        <v>453</v>
      </c>
      <c r="D8" s="7" t="n">
        <v>5</v>
      </c>
      <c r="E8" s="11" t="inlineStr">
        <is>
          <t>右ドッグレッグのパー5。右OB・左1ペナ。グリーン右手前に崖。</t>
        </is>
      </c>
      <c r="F8" s="11" t="inlineStr">
        <is>
          <t>右OBを避けFW左〜センター。</t>
        </is>
      </c>
      <c r="G8" s="11" t="inlineStr">
        <is>
          <t>2打目は刻んで100Y前後の得意距離を残す。2オン狙いは不要。</t>
        </is>
      </c>
      <c r="H8" s="11" t="inlineStr">
        <is>
          <t>グリーン右手前の崖を避け、左寄りから。</t>
        </is>
      </c>
      <c r="I8" s="11" t="inlineStr">
        <is>
          <t>右（OB・崖）</t>
        </is>
      </c>
      <c r="J8" s="11" t="inlineStr">
        <is>
          <t>ドライバー or 3W</t>
        </is>
      </c>
      <c r="K8" s="7" t="n">
        <v>6</v>
      </c>
    </row>
    <row r="9">
      <c r="A9" s="7" t="n">
        <v>8</v>
      </c>
      <c r="B9" s="7" t="n">
        <v>4</v>
      </c>
      <c r="C9" s="7" t="n">
        <v>276</v>
      </c>
      <c r="D9" s="7" t="n">
        <v>11</v>
      </c>
      <c r="E9" s="11" t="inlineStr">
        <is>
          <t>距離の短いパー4。右OB・左1ペナ。</t>
        </is>
      </c>
      <c r="F9" s="11" t="inlineStr">
        <is>
          <t>UT/アイアンで刻み、左〜センターへ。</t>
        </is>
      </c>
      <c r="G9" s="11" t="inlineStr">
        <is>
          <t>ウェッジで縦距離を合わせる。</t>
        </is>
      </c>
      <c r="H9" s="11" t="inlineStr">
        <is>
          <t>パー狙いのチャンスホール。</t>
        </is>
      </c>
      <c r="I9" s="11" t="inlineStr">
        <is>
          <t>右（OB）</t>
        </is>
      </c>
      <c r="J9" s="11" t="inlineStr">
        <is>
          <t>UT or 5I</t>
        </is>
      </c>
      <c r="K9" s="7" t="n">
        <v>5</v>
      </c>
    </row>
    <row r="10">
      <c r="A10" s="7" t="n">
        <v>9</v>
      </c>
      <c r="B10" s="7" t="n">
        <v>3</v>
      </c>
      <c r="C10" s="7" t="n">
        <v>198</v>
      </c>
      <c r="D10" s="7" t="n">
        <v>17</v>
      </c>
      <c r="E10" s="11" t="inlineStr">
        <is>
          <t>パー3。左OB・右1ペナ。グリーン右傾斜。ニアピン推奨ホール。</t>
        </is>
      </c>
      <c r="F10" s="11" t="inlineStr">
        <is>
          <t>グリーン左寄りセンター。届かなくても手前でOK。</t>
        </is>
      </c>
      <c r="G10" s="11" t="inlineStr">
        <is>
          <t>—</t>
        </is>
      </c>
      <c r="H10" s="11" t="inlineStr">
        <is>
          <t>右傾斜を考慮したライン取り。</t>
        </is>
      </c>
      <c r="I10" s="11" t="inlineStr">
        <is>
          <t>左（OB）</t>
        </is>
      </c>
      <c r="J10" s="11" t="inlineStr">
        <is>
          <t>UT/5W</t>
        </is>
      </c>
      <c r="K10" s="7" t="n">
        <v>3</v>
      </c>
    </row>
    <row r="11">
      <c r="A11" s="9" t="n">
        <v>10</v>
      </c>
      <c r="B11" s="9" t="n">
        <v>4</v>
      </c>
      <c r="C11" s="9" t="n">
        <v>377</v>
      </c>
      <c r="D11" s="9" t="n">
        <v>4</v>
      </c>
      <c r="E11" s="12" t="inlineStr">
        <is>
          <t>高低差約100Yの打ち下ろし。相模湾に向かって打つ名物ホール。</t>
        </is>
      </c>
      <c r="F11" s="12" t="inlineStr">
        <is>
          <t>落差で大きく飛ぶので方向性重視。風（海風）を確認。</t>
        </is>
      </c>
      <c r="G11" s="12" t="inlineStr">
        <is>
          <t>打ち下ろし後の残り距離を正確に。</t>
        </is>
      </c>
      <c r="H11" s="12" t="inlineStr">
        <is>
          <t>芝目は山→海が順目。下りが速い。</t>
        </is>
      </c>
      <c r="I11" s="12" t="inlineStr">
        <is>
          <t>左右に曲げると大きく流される</t>
        </is>
      </c>
      <c r="J11" s="12" t="inlineStr">
        <is>
          <t>3W or UT</t>
        </is>
      </c>
      <c r="K11" s="9" t="n">
        <v>5</v>
      </c>
    </row>
    <row r="12">
      <c r="A12" s="9" t="n">
        <v>11</v>
      </c>
      <c r="B12" s="9" t="n">
        <v>4</v>
      </c>
      <c r="C12" s="9" t="n">
        <v>369</v>
      </c>
      <c r="D12" s="9" t="n">
        <v>6</v>
      </c>
      <c r="E12" s="12" t="inlineStr">
        <is>
          <t>左右OB。※暫定グリーンでパー3運用の案内あり（時期による。要確認）。</t>
        </is>
      </c>
      <c r="F12" s="12" t="inlineStr">
        <is>
          <t>左右OBなのでFWキープ最優先。</t>
        </is>
      </c>
      <c r="G12" s="12" t="inlineStr">
        <is>
          <t>無理せずグリーン手前へ。</t>
        </is>
      </c>
      <c r="H12" s="12" t="inlineStr">
        <is>
          <t>ボギーで十分。</t>
        </is>
      </c>
      <c r="I12" s="12" t="inlineStr">
        <is>
          <t>左右（OB）</t>
        </is>
      </c>
      <c r="J12" s="12" t="inlineStr">
        <is>
          <t>3W or UT</t>
        </is>
      </c>
      <c r="K12" s="9" t="n">
        <v>5</v>
      </c>
    </row>
    <row r="13">
      <c r="A13" s="9" t="n">
        <v>12</v>
      </c>
      <c r="B13" s="9" t="n">
        <v>4</v>
      </c>
      <c r="C13" s="9" t="n">
        <v>346</v>
      </c>
      <c r="D13" s="9" t="n">
        <v>18</v>
      </c>
      <c r="E13" s="12" t="inlineStr">
        <is>
          <t>平坦なホール（HDCP18）。</t>
        </is>
      </c>
      <c r="F13" s="12" t="inlineStr">
        <is>
          <t>ドライバーでしっかり振れるホール。</t>
        </is>
      </c>
      <c r="G13" s="12" t="inlineStr">
        <is>
          <t>ショートアイアンでピン狙い。</t>
        </is>
      </c>
      <c r="H13" s="12" t="inlineStr">
        <is>
          <t>パー以上を狙うホール。</t>
        </is>
      </c>
      <c r="I13" s="12" t="inlineStr">
        <is>
          <t>—</t>
        </is>
      </c>
      <c r="J13" s="12" t="inlineStr">
        <is>
          <t>ドライバー</t>
        </is>
      </c>
      <c r="K13" s="9" t="n">
        <v>4</v>
      </c>
    </row>
    <row r="14">
      <c r="A14" s="9" t="n">
        <v>13</v>
      </c>
      <c r="B14" s="9" t="n">
        <v>5</v>
      </c>
      <c r="C14" s="9" t="n">
        <v>484</v>
      </c>
      <c r="D14" s="9" t="n">
        <v>10</v>
      </c>
      <c r="E14" s="12" t="inlineStr">
        <is>
          <t>グリーン手前に大きな池。風の計算が必要。</t>
        </is>
      </c>
      <c r="F14" s="12" t="inlineStr">
        <is>
          <t>FWキープ。</t>
        </is>
      </c>
      <c r="G14" s="12" t="inlineStr">
        <is>
          <t>2打目は池手前100Y前後に刻む。池越えはキャリーで。</t>
        </is>
      </c>
      <c r="H14" s="12" t="inlineStr">
        <is>
          <t>池越え＋風を計算し大きめの番手。</t>
        </is>
      </c>
      <c r="I14" s="12" t="inlineStr">
        <is>
          <t>グリーン手前の池</t>
        </is>
      </c>
      <c r="J14" s="12" t="inlineStr">
        <is>
          <t>ドライバー</t>
        </is>
      </c>
      <c r="K14" s="9" t="n">
        <v>6</v>
      </c>
    </row>
    <row r="15">
      <c r="A15" s="9" t="n">
        <v>14</v>
      </c>
      <c r="B15" s="9" t="n">
        <v>3</v>
      </c>
      <c r="C15" s="9" t="n">
        <v>168</v>
      </c>
      <c r="D15" s="9" t="n">
        <v>8</v>
      </c>
      <c r="E15" s="12" t="inlineStr">
        <is>
          <t>谷越えの打ち下ろしパー3。左右・奥がOB。ニアピン推奨ホール。</t>
        </is>
      </c>
      <c r="F15" s="12" t="inlineStr">
        <is>
          <t>奥OBなので打ち下ろし分しっかり番手を落とす。手前目狙い。</t>
        </is>
      </c>
      <c r="G15" s="12" t="inlineStr">
        <is>
          <t>—</t>
        </is>
      </c>
      <c r="H15" s="12" t="inlineStr">
        <is>
          <t>手前からの寄せワン狙い。</t>
        </is>
      </c>
      <c r="I15" s="12" t="inlineStr">
        <is>
          <t>奥・左右（OB）</t>
        </is>
      </c>
      <c r="J15" s="12" t="inlineStr">
        <is>
          <t>7I〜6I目安</t>
        </is>
      </c>
      <c r="K15" s="9" t="n">
        <v>4</v>
      </c>
    </row>
    <row r="16">
      <c r="A16" s="9" t="n">
        <v>15</v>
      </c>
      <c r="B16" s="9" t="n">
        <v>4</v>
      </c>
      <c r="C16" s="9" t="n">
        <v>315</v>
      </c>
      <c r="D16" s="9" t="n">
        <v>14</v>
      </c>
      <c r="E16" s="12" t="inlineStr">
        <is>
          <t>短めのパー4（詳細ハザード情報なし）。</t>
        </is>
      </c>
      <c r="F16" s="12" t="inlineStr">
        <is>
          <t>FWキープ優先、刻みも可。</t>
        </is>
      </c>
      <c r="G16" s="12" t="inlineStr">
        <is>
          <t>ショートアイアンでグリーン中央。</t>
        </is>
      </c>
      <c r="H16" s="12" t="inlineStr">
        <is>
          <t>パー狙い。</t>
        </is>
      </c>
      <c r="I16" s="12" t="inlineStr">
        <is>
          <t>（現地で要確認）</t>
        </is>
      </c>
      <c r="J16" s="12" t="inlineStr">
        <is>
          <t>UT or ドライバー</t>
        </is>
      </c>
      <c r="K16" s="9" t="n">
        <v>5</v>
      </c>
    </row>
    <row r="17">
      <c r="A17" s="9" t="n">
        <v>16</v>
      </c>
      <c r="B17" s="9" t="n">
        <v>4</v>
      </c>
      <c r="C17" s="9" t="n">
        <v>326</v>
      </c>
      <c r="D17" s="9" t="n">
        <v>12</v>
      </c>
      <c r="E17" s="12" t="inlineStr">
        <is>
          <t>短めのパー4（詳細ハザード情報なし）。</t>
        </is>
      </c>
      <c r="F17" s="12" t="inlineStr">
        <is>
          <t>FWキープ優先。</t>
        </is>
      </c>
      <c r="G17" s="12" t="inlineStr">
        <is>
          <t>100Y以内を残せればパーチャンス。</t>
        </is>
      </c>
      <c r="H17" s="12" t="inlineStr">
        <is>
          <t>パー狙い。</t>
        </is>
      </c>
      <c r="I17" s="12" t="inlineStr">
        <is>
          <t>（現地で要確認）</t>
        </is>
      </c>
      <c r="J17" s="12" t="inlineStr">
        <is>
          <t>ドライバー or 3W</t>
        </is>
      </c>
      <c r="K17" s="9" t="n">
        <v>5</v>
      </c>
    </row>
    <row r="18">
      <c r="A18" s="9" t="n">
        <v>17</v>
      </c>
      <c r="B18" s="9" t="n">
        <v>3</v>
      </c>
      <c r="C18" s="9" t="n">
        <v>158</v>
      </c>
      <c r="D18" s="9" t="n">
        <v>16</v>
      </c>
      <c r="E18" s="12" t="inlineStr">
        <is>
          <t>池越えのパー3。馬の背グリーン。</t>
        </is>
      </c>
      <c r="F18" s="12" t="inlineStr">
        <is>
          <t>池越えキャリー確保の番手で、グリーンセンター。</t>
        </is>
      </c>
      <c r="G18" s="12" t="inlineStr">
        <is>
          <t>—</t>
        </is>
      </c>
      <c r="H18" s="12" t="inlineStr">
        <is>
          <t>馬の背でこぼれやすい。乗せたら傾斜を読む。</t>
        </is>
      </c>
      <c r="I18" s="12" t="inlineStr">
        <is>
          <t>手前の池</t>
        </is>
      </c>
      <c r="J18" s="12" t="inlineStr">
        <is>
          <t>8I〜7I目安</t>
        </is>
      </c>
      <c r="K18" s="9" t="n">
        <v>3</v>
      </c>
    </row>
    <row r="19">
      <c r="A19" s="9" t="n">
        <v>18</v>
      </c>
      <c r="B19" s="9" t="n">
        <v>5</v>
      </c>
      <c r="C19" s="9" t="n">
        <v>435</v>
      </c>
      <c r="D19" s="13" t="n">
        <v>2</v>
      </c>
      <c r="E19" s="12" t="inlineStr">
        <is>
          <t>打ち上げの砲台グリーン（HDCP2）。ドラコン推奨ホール。</t>
        </is>
      </c>
      <c r="F19" s="12" t="inlineStr">
        <is>
          <t>FWキープ。ドラコン時以外は飛ばしすぎ不要。</t>
        </is>
      </c>
      <c r="G19" s="12" t="inlineStr">
        <is>
          <t>3打目を得意距離に残す配置。</t>
        </is>
      </c>
      <c r="H19" s="12" t="inlineStr">
        <is>
          <t>砲台なのでショート厳禁、キャリーで乗せる。</t>
        </is>
      </c>
      <c r="I19" s="12" t="inlineStr">
        <is>
          <t>グリーン手前のショート</t>
        </is>
      </c>
      <c r="J19" s="12" t="inlineStr">
        <is>
          <t>ドライバー</t>
        </is>
      </c>
      <c r="K19" s="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7" customWidth="1" min="4" max="4"/>
    <col width="7" customWidth="1" min="5" max="5"/>
    <col width="13" customWidth="1" min="6" max="6"/>
    <col width="13" customWidth="1" min="7" max="7"/>
    <col width="10" customWidth="1" min="8" max="8"/>
    <col width="8" customWidth="1" min="9" max="9"/>
    <col width="30" customWidth="1" min="10" max="10"/>
  </cols>
  <sheetData>
    <row r="1">
      <c r="A1" t="inlineStr">
        <is>
          <t>日付：</t>
        </is>
      </c>
      <c r="B1" t="inlineStr"/>
      <c r="C1" t="inlineStr">
        <is>
          <t>同伴者：</t>
        </is>
      </c>
      <c r="D1" t="inlineStr"/>
      <c r="E1" t="inlineStr">
        <is>
          <t>天候/風：</t>
        </is>
      </c>
      <c r="F1" t="inlineStr"/>
    </row>
    <row r="3">
      <c r="A3" s="6" t="inlineStr">
        <is>
          <t>ホール</t>
        </is>
      </c>
      <c r="B3" s="6" t="inlineStr">
        <is>
          <t>パー</t>
        </is>
      </c>
      <c r="C3" s="6" t="inlineStr">
        <is>
          <t>90切り目標</t>
        </is>
      </c>
      <c r="D3" s="6" t="inlineStr">
        <is>
          <t>打数</t>
        </is>
      </c>
      <c r="E3" s="6" t="inlineStr">
        <is>
          <t>パット</t>
        </is>
      </c>
      <c r="F3" s="6" t="inlineStr">
        <is>
          <t>FWキープ(○/×)</t>
        </is>
      </c>
      <c r="G3" s="6" t="inlineStr">
        <is>
          <t>パーオン(○/×)</t>
        </is>
      </c>
      <c r="H3" s="6" t="inlineStr">
        <is>
          <t>OB/ペナ数</t>
        </is>
      </c>
      <c r="I3" s="6" t="inlineStr">
        <is>
          <t>目標差</t>
        </is>
      </c>
      <c r="J3" s="6" t="inlineStr">
        <is>
          <t>メモ</t>
        </is>
      </c>
    </row>
    <row r="4">
      <c r="A4" s="7" t="n">
        <v>1</v>
      </c>
      <c r="B4" s="7" t="n">
        <v>4</v>
      </c>
      <c r="C4" s="7" t="n">
        <v>5</v>
      </c>
      <c r="D4" s="7" t="n"/>
      <c r="E4" s="7" t="n"/>
      <c r="F4" s="7" t="n"/>
      <c r="G4" s="7" t="n"/>
      <c r="H4" s="7" t="n"/>
      <c r="I4" s="7">
        <f>IF(D4="","",D4-C4)</f>
        <v/>
      </c>
      <c r="J4" s="7" t="n"/>
    </row>
    <row r="5">
      <c r="A5" s="7" t="n">
        <v>2</v>
      </c>
      <c r="B5" s="7" t="n">
        <v>3</v>
      </c>
      <c r="C5" s="7" t="n">
        <v>4</v>
      </c>
      <c r="D5" s="7" t="n"/>
      <c r="E5" s="7" t="n"/>
      <c r="F5" s="7" t="n"/>
      <c r="G5" s="7" t="n"/>
      <c r="H5" s="7" t="n"/>
      <c r="I5" s="7">
        <f>IF(D5="","",D5-C5)</f>
        <v/>
      </c>
      <c r="J5" s="7" t="n"/>
    </row>
    <row r="6">
      <c r="A6" s="7" t="n">
        <v>3</v>
      </c>
      <c r="B6" s="7" t="n">
        <v>4</v>
      </c>
      <c r="C6" s="7" t="n">
        <v>5</v>
      </c>
      <c r="D6" s="7" t="n"/>
      <c r="E6" s="7" t="n"/>
      <c r="F6" s="7" t="n"/>
      <c r="G6" s="7" t="n"/>
      <c r="H6" s="7" t="n"/>
      <c r="I6" s="7">
        <f>IF(D6="","",D6-C6)</f>
        <v/>
      </c>
      <c r="J6" s="7" t="n"/>
    </row>
    <row r="7">
      <c r="A7" s="7" t="n">
        <v>4</v>
      </c>
      <c r="B7" s="7" t="n">
        <v>4</v>
      </c>
      <c r="C7" s="7" t="n">
        <v>5</v>
      </c>
      <c r="D7" s="7" t="n"/>
      <c r="E7" s="7" t="n"/>
      <c r="F7" s="7" t="n"/>
      <c r="G7" s="7" t="n"/>
      <c r="H7" s="7" t="n"/>
      <c r="I7" s="7">
        <f>IF(D7="","",D7-C7)</f>
        <v/>
      </c>
      <c r="J7" s="7" t="n"/>
    </row>
    <row r="8">
      <c r="A8" s="7" t="n">
        <v>5</v>
      </c>
      <c r="B8" s="7" t="n">
        <v>4</v>
      </c>
      <c r="C8" s="7" t="n">
        <v>5</v>
      </c>
      <c r="D8" s="7" t="n"/>
      <c r="E8" s="7" t="n"/>
      <c r="F8" s="7" t="n"/>
      <c r="G8" s="7" t="n"/>
      <c r="H8" s="7" t="n"/>
      <c r="I8" s="7">
        <f>IF(D8="","",D8-C8)</f>
        <v/>
      </c>
      <c r="J8" s="7" t="n"/>
    </row>
    <row r="9">
      <c r="A9" s="7" t="n">
        <v>6</v>
      </c>
      <c r="B9" s="7" t="n">
        <v>5</v>
      </c>
      <c r="C9" s="7" t="n">
        <v>6</v>
      </c>
      <c r="D9" s="7" t="n"/>
      <c r="E9" s="7" t="n"/>
      <c r="F9" s="7" t="n"/>
      <c r="G9" s="7" t="n"/>
      <c r="H9" s="7" t="n"/>
      <c r="I9" s="7">
        <f>IF(D9="","",D9-C9)</f>
        <v/>
      </c>
      <c r="J9" s="7" t="n"/>
    </row>
    <row r="10">
      <c r="A10" s="7" t="n">
        <v>7</v>
      </c>
      <c r="B10" s="7" t="n">
        <v>5</v>
      </c>
      <c r="C10" s="7" t="n">
        <v>6</v>
      </c>
      <c r="D10" s="7" t="n"/>
      <c r="E10" s="7" t="n"/>
      <c r="F10" s="7" t="n"/>
      <c r="G10" s="7" t="n"/>
      <c r="H10" s="7" t="n"/>
      <c r="I10" s="7">
        <f>IF(D10="","",D10-C10)</f>
        <v/>
      </c>
      <c r="J10" s="7" t="n"/>
    </row>
    <row r="11">
      <c r="A11" s="7" t="n">
        <v>8</v>
      </c>
      <c r="B11" s="7" t="n">
        <v>4</v>
      </c>
      <c r="C11" s="7" t="n">
        <v>5</v>
      </c>
      <c r="D11" s="7" t="n"/>
      <c r="E11" s="7" t="n"/>
      <c r="F11" s="7" t="n"/>
      <c r="G11" s="7" t="n"/>
      <c r="H11" s="7" t="n"/>
      <c r="I11" s="7">
        <f>IF(D11="","",D11-C11)</f>
        <v/>
      </c>
      <c r="J11" s="7" t="n"/>
    </row>
    <row r="12">
      <c r="A12" s="7" t="n">
        <v>9</v>
      </c>
      <c r="B12" s="7" t="n">
        <v>3</v>
      </c>
      <c r="C12" s="7" t="n">
        <v>3</v>
      </c>
      <c r="D12" s="7" t="n"/>
      <c r="E12" s="7" t="n"/>
      <c r="F12" s="7" t="n"/>
      <c r="G12" s="7" t="n"/>
      <c r="H12" s="7" t="n"/>
      <c r="I12" s="7">
        <f>IF(D12="","",D12-C12)</f>
        <v/>
      </c>
      <c r="J12" s="7" t="n"/>
    </row>
    <row r="13">
      <c r="A13" s="8" t="inlineStr">
        <is>
          <t>OUT</t>
        </is>
      </c>
      <c r="B13" s="8">
        <f>SUM(B4:B12)</f>
        <v/>
      </c>
      <c r="C13" s="8">
        <f>SUM(C4:C12)</f>
        <v/>
      </c>
      <c r="D13" s="8">
        <f>SUM(D4:D12)</f>
        <v/>
      </c>
      <c r="E13" s="8">
        <f>SUM(E4:E12)</f>
        <v/>
      </c>
      <c r="F13" s="8">
        <f>COUNTIF(F4:F12,"○")</f>
        <v/>
      </c>
      <c r="G13" s="8">
        <f>COUNTIF(G4:G12,"○")</f>
        <v/>
      </c>
      <c r="H13" s="8">
        <f>SUM(H4:H12)</f>
        <v/>
      </c>
      <c r="I13" s="8">
        <f>IF(D13=0,"",D13-C13)</f>
        <v/>
      </c>
      <c r="J13" s="8" t="n"/>
    </row>
    <row r="14">
      <c r="A14" s="9" t="n">
        <v>10</v>
      </c>
      <c r="B14" s="9" t="n">
        <v>4</v>
      </c>
      <c r="C14" s="9" t="n">
        <v>5</v>
      </c>
      <c r="D14" s="9" t="n"/>
      <c r="E14" s="9" t="n"/>
      <c r="F14" s="9" t="n"/>
      <c r="G14" s="9" t="n"/>
      <c r="H14" s="9" t="n"/>
      <c r="I14" s="9">
        <f>IF(D14="","",D14-C14)</f>
        <v/>
      </c>
      <c r="J14" s="9" t="n"/>
    </row>
    <row r="15">
      <c r="A15" s="9" t="n">
        <v>11</v>
      </c>
      <c r="B15" s="9" t="n">
        <v>4</v>
      </c>
      <c r="C15" s="9" t="n">
        <v>5</v>
      </c>
      <c r="D15" s="9" t="n"/>
      <c r="E15" s="9" t="n"/>
      <c r="F15" s="9" t="n"/>
      <c r="G15" s="9" t="n"/>
      <c r="H15" s="9" t="n"/>
      <c r="I15" s="9">
        <f>IF(D15="","",D15-C15)</f>
        <v/>
      </c>
      <c r="J15" s="9" t="n"/>
    </row>
    <row r="16">
      <c r="A16" s="9" t="n">
        <v>12</v>
      </c>
      <c r="B16" s="9" t="n">
        <v>4</v>
      </c>
      <c r="C16" s="9" t="n">
        <v>4</v>
      </c>
      <c r="D16" s="9" t="n"/>
      <c r="E16" s="9" t="n"/>
      <c r="F16" s="9" t="n"/>
      <c r="G16" s="9" t="n"/>
      <c r="H16" s="9" t="n"/>
      <c r="I16" s="9">
        <f>IF(D16="","",D16-C16)</f>
        <v/>
      </c>
      <c r="J16" s="9" t="n"/>
    </row>
    <row r="17">
      <c r="A17" s="9" t="n">
        <v>13</v>
      </c>
      <c r="B17" s="9" t="n">
        <v>5</v>
      </c>
      <c r="C17" s="9" t="n">
        <v>6</v>
      </c>
      <c r="D17" s="9" t="n"/>
      <c r="E17" s="9" t="n"/>
      <c r="F17" s="9" t="n"/>
      <c r="G17" s="9" t="n"/>
      <c r="H17" s="9" t="n"/>
      <c r="I17" s="9">
        <f>IF(D17="","",D17-C17)</f>
        <v/>
      </c>
      <c r="J17" s="9" t="n"/>
    </row>
    <row r="18">
      <c r="A18" s="9" t="n">
        <v>14</v>
      </c>
      <c r="B18" s="9" t="n">
        <v>3</v>
      </c>
      <c r="C18" s="9" t="n">
        <v>4</v>
      </c>
      <c r="D18" s="9" t="n"/>
      <c r="E18" s="9" t="n"/>
      <c r="F18" s="9" t="n"/>
      <c r="G18" s="9" t="n"/>
      <c r="H18" s="9" t="n"/>
      <c r="I18" s="9">
        <f>IF(D18="","",D18-C18)</f>
        <v/>
      </c>
      <c r="J18" s="9" t="n"/>
    </row>
    <row r="19">
      <c r="A19" s="9" t="n">
        <v>15</v>
      </c>
      <c r="B19" s="9" t="n">
        <v>4</v>
      </c>
      <c r="C19" s="9" t="n">
        <v>5</v>
      </c>
      <c r="D19" s="9" t="n"/>
      <c r="E19" s="9" t="n"/>
      <c r="F19" s="9" t="n"/>
      <c r="G19" s="9" t="n"/>
      <c r="H19" s="9" t="n"/>
      <c r="I19" s="9">
        <f>IF(D19="","",D19-C19)</f>
        <v/>
      </c>
      <c r="J19" s="9" t="n"/>
    </row>
    <row r="20">
      <c r="A20" s="9" t="n">
        <v>16</v>
      </c>
      <c r="B20" s="9" t="n">
        <v>4</v>
      </c>
      <c r="C20" s="9" t="n">
        <v>5</v>
      </c>
      <c r="D20" s="9" t="n"/>
      <c r="E20" s="9" t="n"/>
      <c r="F20" s="9" t="n"/>
      <c r="G20" s="9" t="n"/>
      <c r="H20" s="9" t="n"/>
      <c r="I20" s="9">
        <f>IF(D20="","",D20-C20)</f>
        <v/>
      </c>
      <c r="J20" s="9" t="n"/>
    </row>
    <row r="21">
      <c r="A21" s="9" t="n">
        <v>17</v>
      </c>
      <c r="B21" s="9" t="n">
        <v>3</v>
      </c>
      <c r="C21" s="9" t="n">
        <v>3</v>
      </c>
      <c r="D21" s="9" t="n"/>
      <c r="E21" s="9" t="n"/>
      <c r="F21" s="9" t="n"/>
      <c r="G21" s="9" t="n"/>
      <c r="H21" s="9" t="n"/>
      <c r="I21" s="9">
        <f>IF(D21="","",D21-C21)</f>
        <v/>
      </c>
      <c r="J21" s="9" t="n"/>
    </row>
    <row r="22">
      <c r="A22" s="9" t="n">
        <v>18</v>
      </c>
      <c r="B22" s="9" t="n">
        <v>5</v>
      </c>
      <c r="C22" s="9" t="n">
        <v>6</v>
      </c>
      <c r="D22" s="9" t="n"/>
      <c r="E22" s="9" t="n"/>
      <c r="F22" s="9" t="n"/>
      <c r="G22" s="9" t="n"/>
      <c r="H22" s="9" t="n"/>
      <c r="I22" s="9">
        <f>IF(D22="","",D22-C22)</f>
        <v/>
      </c>
      <c r="J22" s="9" t="n"/>
    </row>
    <row r="23">
      <c r="A23" s="8" t="inlineStr">
        <is>
          <t>IN</t>
        </is>
      </c>
      <c r="B23" s="8">
        <f>SUM(B14:B22)</f>
        <v/>
      </c>
      <c r="C23" s="8">
        <f>SUM(C14:C22)</f>
        <v/>
      </c>
      <c r="D23" s="8">
        <f>SUM(D14:D22)</f>
        <v/>
      </c>
      <c r="E23" s="8">
        <f>SUM(E14:E22)</f>
        <v/>
      </c>
      <c r="F23" s="8">
        <f>COUNTIF(F14:F22,"○")</f>
        <v/>
      </c>
      <c r="G23" s="8">
        <f>COUNTIF(G14:G22,"○")</f>
        <v/>
      </c>
      <c r="H23" s="8">
        <f>SUM(H14:H22)</f>
        <v/>
      </c>
      <c r="I23" s="8">
        <f>IF(D23=0,"",D23-C23)</f>
        <v/>
      </c>
      <c r="J23" s="8" t="n"/>
    </row>
    <row r="24">
      <c r="A24" s="6" t="inlineStr">
        <is>
          <t>TOTAL</t>
        </is>
      </c>
      <c r="B24" s="6">
        <f>B13+B23</f>
        <v/>
      </c>
      <c r="C24" s="6">
        <f>C13+C23</f>
        <v/>
      </c>
      <c r="D24" s="6">
        <f>D13+D23</f>
        <v/>
      </c>
      <c r="E24" s="6">
        <f>E13+E23</f>
        <v/>
      </c>
      <c r="F24" s="6">
        <f>F13+F23</f>
        <v/>
      </c>
      <c r="G24" s="6">
        <f>G13+G23</f>
        <v/>
      </c>
      <c r="H24" s="6">
        <f>H13+H23</f>
        <v/>
      </c>
      <c r="I24" s="6">
        <f>IF(D24=0,"",D24-C24)</f>
        <v/>
      </c>
      <c r="J24" s="6" t="n"/>
    </row>
    <row r="26">
      <c r="A26" t="inlineStr">
        <is>
          <t>※FWキープはパー3を除く14ホールで集計してください。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4" t="inlineStr">
        <is>
          <t>出典</t>
        </is>
      </c>
      <c r="B1" t="inlineStr"/>
    </row>
    <row r="2">
      <c r="A2" t="inlineStr">
        <is>
          <t>じゃらんゴルフ</t>
        </is>
      </c>
      <c r="B2" t="inlineStr">
        <is>
          <t>https://golf-jalan.net/gc01003/detail/</t>
        </is>
      </c>
    </row>
    <row r="3">
      <c r="A3" t="inlineStr">
        <is>
          <t>楽天GORA</t>
        </is>
      </c>
      <c r="B3" t="inlineStr">
        <is>
          <t>https://booking.gora.golf.rakuten.co.jp/guide/layout_disp/c_id/140007</t>
        </is>
      </c>
    </row>
    <row r="4">
      <c r="A4" t="inlineStr">
        <is>
          <t>Shot Navi</t>
        </is>
      </c>
      <c r="B4" t="inlineStr">
        <is>
          <t>https://shotnavi.jp/gcguide/gcinfo_1097.htm</t>
        </is>
      </c>
    </row>
    <row r="5">
      <c r="A5" t="inlineStr">
        <is>
          <t>ゴルフラボ</t>
        </is>
      </c>
      <c r="B5" t="inlineStr">
        <is>
          <t>https://www.golflab.jp/kanagawa-golf/odawarajocc/</t>
        </is>
      </c>
    </row>
    <row r="6">
      <c r="A6" t="inlineStr">
        <is>
          <t>GDO</t>
        </is>
      </c>
      <c r="B6" t="inlineStr">
        <is>
          <t>https://reserve.golfdigest.co.jp/golf-course/370503/course-info/</t>
        </is>
      </c>
    </row>
    <row r="7">
      <c r="A7" t="inlineStr">
        <is>
          <t>公式サイト</t>
        </is>
      </c>
      <c r="B7" t="inlineStr">
        <is>
          <t>https://www.odawarajocc.com/course.html</t>
        </is>
      </c>
    </row>
    <row r="8">
      <c r="A8" t="inlineStr"/>
      <c r="B8" t="inlineStr"/>
    </row>
    <row r="9">
      <c r="A9" s="14" t="inlineStr">
        <is>
          <t>注意事項</t>
        </is>
      </c>
      <c r="B9" t="inlineStr"/>
    </row>
    <row r="10">
      <c r="A10" t="inlineStr">
        <is>
          <t>1</t>
        </is>
      </c>
      <c r="B10" t="inlineStr">
        <is>
          <t>ヤード・パーは予約サイト掲載値（OUT/IN各36、レギュラー6,080Y）。</t>
        </is>
      </c>
    </row>
    <row r="11">
      <c r="A11" t="inlineStr">
        <is>
          <t>2</t>
        </is>
      </c>
      <c r="B11" t="inlineStr">
        <is>
          <t>INのHDCPはShot Navi値を採用。11番を14・12番を16とする出典もあります。</t>
        </is>
      </c>
    </row>
    <row r="12">
      <c r="A12" t="inlineStr">
        <is>
          <t>3</t>
        </is>
      </c>
      <c r="B12" t="inlineStr">
        <is>
          <t>レディースティーはホール別の値が揃わなかったため合計のみ記載。</t>
        </is>
      </c>
    </row>
    <row r="13">
      <c r="A13" t="inlineStr">
        <is>
          <t>4</t>
        </is>
      </c>
      <c r="B13" t="inlineStr">
        <is>
          <t>15・16番は公開情報にハザードの記述がなく、一般的な短いパー4の戦略を記載。現地で確認してください。</t>
        </is>
      </c>
    </row>
    <row r="14">
      <c r="A14" t="inlineStr">
        <is>
          <t>5</t>
        </is>
      </c>
      <c r="B14" t="inlineStr">
        <is>
          <t>「ティーショット戦略」「推奨クラブ」「目標スコア」は公開情報を基にした一般的な提案で、プレーヤーの飛距離に合わせて調整してください。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2026-10-23T15:02:14Z</dcterms:created>
  <dcterms:modified xmlns:dcterms="http://purl.org/dc/terms/" xmlns:xsi="http://www.w3.org/2001/XMLSchema-instance" xsi:type="dcterms:W3CDTF">2026-10-23T15:02:14Z</dcterms:modified>
</cp:coreProperties>
</file>